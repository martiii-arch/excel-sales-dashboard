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f75f96155ca8077/Documents/S files/"/>
    </mc:Choice>
  </mc:AlternateContent>
  <xr:revisionPtr revIDLastSave="1089" documentId="11_FFC65FC057E1EBBCAA551B4848AD5DB160B52C98" xr6:coauthVersionLast="47" xr6:coauthVersionMax="47" xr10:uidLastSave="{FFB8AD69-8886-4DBC-95E6-A65DF2D28537}"/>
  <bookViews>
    <workbookView xWindow="-108" yWindow="-108" windowWidth="23256" windowHeight="12456" activeTab="1" xr2:uid="{00000000-000D-0000-FFFF-FFFF00000000}"/>
  </bookViews>
  <sheets>
    <sheet name="Dashboard" sheetId="3" r:id="rId1"/>
    <sheet name="Data Set" sheetId="1" r:id="rId2"/>
    <sheet name="Sheet1" sheetId="4" r:id="rId3"/>
    <sheet name="Pivot Table" sheetId="2" r:id="rId4"/>
  </sheets>
  <definedNames>
    <definedName name="Slicer_Bran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2" i="1"/>
</calcChain>
</file>

<file path=xl/sharedStrings.xml><?xml version="1.0" encoding="utf-8"?>
<sst xmlns="http://schemas.openxmlformats.org/spreadsheetml/2006/main" count="1598" uniqueCount="40">
  <si>
    <t>Brand</t>
  </si>
  <si>
    <t>Category</t>
  </si>
  <si>
    <t>Year</t>
  </si>
  <si>
    <t>City</t>
  </si>
  <si>
    <t>Sales Representative</t>
  </si>
  <si>
    <t>Units Sold</t>
  </si>
  <si>
    <t>Sales Amount (₹)</t>
  </si>
  <si>
    <t>Samsung</t>
  </si>
  <si>
    <t>Apple</t>
  </si>
  <si>
    <t>Xiaomi</t>
  </si>
  <si>
    <t>OnePlus</t>
  </si>
  <si>
    <t>Vivo</t>
  </si>
  <si>
    <t>Oppo</t>
  </si>
  <si>
    <t>Realme</t>
  </si>
  <si>
    <t>Motorola</t>
  </si>
  <si>
    <t>Budget</t>
  </si>
  <si>
    <t>Mid-range</t>
  </si>
  <si>
    <t>Flagship</t>
  </si>
  <si>
    <t>Mumbai</t>
  </si>
  <si>
    <t>Delhi</t>
  </si>
  <si>
    <t>Chennai</t>
  </si>
  <si>
    <t>Bangalore</t>
  </si>
  <si>
    <t>Hyderabad</t>
  </si>
  <si>
    <t>Kolkata</t>
  </si>
  <si>
    <t>Pune</t>
  </si>
  <si>
    <t>Ahmedabad</t>
  </si>
  <si>
    <t>Divya</t>
  </si>
  <si>
    <t>Priya</t>
  </si>
  <si>
    <t>Ankit</t>
  </si>
  <si>
    <t>Sanjay</t>
  </si>
  <si>
    <t>Meera</t>
  </si>
  <si>
    <t>Kavya</t>
  </si>
  <si>
    <t>Rohan</t>
  </si>
  <si>
    <t>Neha</t>
  </si>
  <si>
    <t>Rahul</t>
  </si>
  <si>
    <t>Arjun</t>
  </si>
  <si>
    <t>Row Labels</t>
  </si>
  <si>
    <t>Grand Total</t>
  </si>
  <si>
    <t>Sum of Sales Amount (₹)</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</si>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</sst>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center"/>
    </xf>
    <xf numFmtId="0" fontId="0" fillId="3" borderId="0" xfId="0" applyFill="1"/>
    <xf numFmtId="0" fontId="0" fillId="3" borderId="0" xfId="0" applyFill="1" applyAlignment="1">
      <alignment horizontal="center"/>
    </xf>
    <xf numFmtId="0" fontId="0" fillId="0" borderId="0" xfId="0" pivotButton="1"/>
    <xf numFmtId="3" fontId="0" fillId="0" borderId="0" xfId="0" applyNumberFormat="1"/>
    <xf numFmtId="0" fontId="1" fillId="2" borderId="1" xfId="0" applyFont="1" applyFill="1" applyBorder="1" applyAlignment="1">
      <alignment horizontal="center" vertical="top"/>
    </xf>
    <xf numFmtId="0" fontId="1" fillId="2" borderId="2" xfId="0" applyFont="1" applyFill="1" applyBorder="1" applyAlignment="1">
      <alignment horizontal="center" vertical="top"/>
    </xf>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[Mobile_Brand_Sales_Dataset.xlsx]Pivot Table!sales by brand</c:name>
    <c:fmtId val="33"/>
  </c:pivotSource>
  <c:chart>
    <c:title>
      <c:tx>
        <c:rich>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r>
              <a:rPr lang="en-US" sz="1800" b="1" i="1" u="none" strike="noStrike" kern="1200" spc="0" baseline="0">
                <a:solidFill>
                  <a:srgbClr val="FF0000"/>
                </a:solidFill>
                <a:latin typeface="+mn-lt"/>
                <a:ea typeface="+mn-ea"/>
                <a:cs typeface="+mn-cs"/>
              </a:rPr>
              <a:t>Sales  By Brand</a:t>
            </a:r>
          </a:p>
        </c:rich>
      </c:tx>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8"/>
                <c:pt idx="0">
                  <c:v>Apple</c:v>
                </c:pt>
                <c:pt idx="1">
                  <c:v>Motorola</c:v>
                </c:pt>
                <c:pt idx="2">
                  <c:v>OnePlus</c:v>
                </c:pt>
                <c:pt idx="3">
                  <c:v>Oppo</c:v>
                </c:pt>
                <c:pt idx="4">
                  <c:v>Realme</c:v>
                </c:pt>
                <c:pt idx="5">
                  <c:v>Samsung</c:v>
                </c:pt>
                <c:pt idx="6">
                  <c:v>Vivo</c:v>
                </c:pt>
                <c:pt idx="7">
                  <c:v>Xiaomi</c:v>
                </c:pt>
              </c:strCache>
            </c:strRef>
          </c:cat>
          <c:val>
            <c:numRef>
              <c:f>'Pivot Table'!$B$4:$B$12</c:f>
              <c:numCache>
                <c:formatCode>#,##0</c:formatCode>
                <c:ptCount val="8"/>
                <c:pt idx="0">
                  <c:v>372226536</c:v>
                </c:pt>
                <c:pt idx="1">
                  <c:v>205427312</c:v>
                </c:pt>
                <c:pt idx="2">
                  <c:v>191844527</c:v>
                </c:pt>
                <c:pt idx="3">
                  <c:v>191083013</c:v>
                </c:pt>
                <c:pt idx="4">
                  <c:v>245221586</c:v>
                </c:pt>
                <c:pt idx="5">
                  <c:v>253391157</c:v>
                </c:pt>
                <c:pt idx="6">
                  <c:v>404215556</c:v>
                </c:pt>
                <c:pt idx="7">
                  <c:v>644430443</c:v>
                </c:pt>
              </c:numCache>
            </c:numRef>
          </c:val>
          <c:extLst>
            <c:ext xmlns:c16="http://schemas.microsoft.com/office/drawing/2014/chart" uri="{C3380CC4-5D6E-409C-BE32-E72D297353CC}">
              <c16:uniqueId val="{00000000-5FB7-4561-BFAB-7C34F629C493}"/>
            </c:ext>
          </c:extLst>
        </c:ser>
        <c:dLbls>
          <c:dLblPos val="outEnd"/>
          <c:showLegendKey val="0"/>
          <c:showVal val="1"/>
          <c:showCatName val="0"/>
          <c:showSerName val="0"/>
          <c:showPercent val="0"/>
          <c:showBubbleSize val="0"/>
        </c:dLbls>
        <c:gapWidth val="182"/>
        <c:axId val="660186320"/>
        <c:axId val="660186800"/>
      </c:barChart>
      <c:catAx>
        <c:axId val="66018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crossAx val="660186800"/>
        <c:crosses val="autoZero"/>
        <c:auto val="1"/>
        <c:lblAlgn val="ctr"/>
        <c:lblOffset val="100"/>
        <c:noMultiLvlLbl val="0"/>
      </c:catAx>
      <c:valAx>
        <c:axId val="660186800"/>
        <c:scaling>
          <c:orientation val="minMax"/>
        </c:scaling>
        <c:delete val="1"/>
        <c:axPos val="b"/>
        <c:numFmt formatCode="#,##0" sourceLinked="1"/>
        <c:majorTickMark val="none"/>
        <c:minorTickMark val="none"/>
        <c:tickLblPos val="nextTo"/>
        <c:crossAx val="6601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[Mobile_Brand_Sales_Dataset.xlsx]Pivot Table!units sold by each brand</c:name>
    <c:fmtId val="9"/>
  </c:pivotSource>
  <c:chart>
    <c:title>
      <c:tx>
        <c:rich>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r>
              <a:rPr lang="en-US" sz="1800" b="1" i="1" u="none" strike="noStrike" kern="1200" spc="0" baseline="0">
                <a:solidFill>
                  <a:srgbClr val="FF0000"/>
                </a:solidFill>
                <a:latin typeface="+mn-lt"/>
                <a:ea typeface="+mn-ea"/>
                <a:cs typeface="+mn-cs"/>
              </a:rPr>
              <a:t>Unit sold by each Brands</a:t>
            </a:r>
          </a:p>
        </c:rich>
      </c:tx>
      <c:layout>
        <c:manualLayout>
          <c:xMode val="edge"/>
          <c:yMode val="edge"/>
          <c:x val="0.34419125204821377"/>
          <c:y val="2.7921538278889997E-2"/>
        </c:manualLayout>
      </c:layout>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56859835319896E-2"/>
          <c:y val="0.10420185957176134"/>
          <c:w val="0.95254706273281708"/>
          <c:h val="0.79873640167556526"/>
        </c:manualLayout>
      </c:layout>
      <c:barChart>
        <c:barDir val="col"/>
        <c:grouping val="clustered"/>
        <c:varyColors val="0"/>
        <c:ser>
          <c:idx val="0"/>
          <c:order val="0"/>
          <c:tx>
            <c:strRef>
              <c:f>'Pivot Table'!$E$3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Apple</c:v>
                </c:pt>
                <c:pt idx="1">
                  <c:v>Motorola</c:v>
                </c:pt>
                <c:pt idx="2">
                  <c:v>OnePlus</c:v>
                </c:pt>
                <c:pt idx="3">
                  <c:v>Oppo</c:v>
                </c:pt>
                <c:pt idx="4">
                  <c:v>Realme</c:v>
                </c:pt>
                <c:pt idx="5">
                  <c:v>Samsung</c:v>
                </c:pt>
                <c:pt idx="6">
                  <c:v>Vivo</c:v>
                </c:pt>
                <c:pt idx="7">
                  <c:v>Xiaomi</c:v>
                </c:pt>
              </c:strCache>
            </c:strRef>
          </c:cat>
          <c:val>
            <c:numRef>
              <c:f>'Pivot Table'!$E$4:$E$12</c:f>
              <c:numCache>
                <c:formatCode>General</c:formatCode>
                <c:ptCount val="8"/>
                <c:pt idx="0">
                  <c:v>11141</c:v>
                </c:pt>
                <c:pt idx="1">
                  <c:v>7248</c:v>
                </c:pt>
                <c:pt idx="2">
                  <c:v>7395</c:v>
                </c:pt>
                <c:pt idx="3">
                  <c:v>5499</c:v>
                </c:pt>
                <c:pt idx="4">
                  <c:v>9236</c:v>
                </c:pt>
                <c:pt idx="5">
                  <c:v>6800</c:v>
                </c:pt>
                <c:pt idx="6">
                  <c:v>8210</c:v>
                </c:pt>
                <c:pt idx="7">
                  <c:v>11435</c:v>
                </c:pt>
              </c:numCache>
            </c:numRef>
          </c:val>
          <c:extLst>
            <c:ext xmlns:c16="http://schemas.microsoft.com/office/drawing/2014/chart" uri="{C3380CC4-5D6E-409C-BE32-E72D297353CC}">
              <c16:uniqueId val="{00000000-129D-44DB-AE5E-7BEA2FA9827D}"/>
            </c:ext>
          </c:extLst>
        </c:ser>
        <c:dLbls>
          <c:dLblPos val="outEnd"/>
          <c:showLegendKey val="0"/>
          <c:showVal val="1"/>
          <c:showCatName val="0"/>
          <c:showSerName val="0"/>
          <c:showPercent val="0"/>
          <c:showBubbleSize val="0"/>
        </c:dLbls>
        <c:gapWidth val="219"/>
        <c:overlap val="-27"/>
        <c:axId val="776795728"/>
        <c:axId val="776795248"/>
      </c:barChart>
      <c:catAx>
        <c:axId val="77679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crossAx val="776795248"/>
        <c:crosses val="autoZero"/>
        <c:auto val="1"/>
        <c:lblAlgn val="ctr"/>
        <c:lblOffset val="100"/>
        <c:noMultiLvlLbl val="0"/>
      </c:catAx>
      <c:valAx>
        <c:axId val="776795248"/>
        <c:scaling>
          <c:orientation val="minMax"/>
        </c:scaling>
        <c:delete val="1"/>
        <c:axPos val="l"/>
        <c:numFmt formatCode="General" sourceLinked="1"/>
        <c:majorTickMark val="none"/>
        <c:minorTickMark val="none"/>
        <c:tickLblPos val="nextTo"/>
        <c:crossAx val="77679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[Mobile_Brand_Sales_Dataset.xlsx]Pivot Table!units sold according to priorities</c:name>
    <c:fmtId val="6"/>
  </c:pivotSource>
  <c:chart>
    <c:title>
      <c:tx>
        <c:rich>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r>
              <a:rPr lang="en-US" sz="1800" b="1" i="1" u="none" strike="noStrike" kern="1200" spc="0" baseline="0">
                <a:solidFill>
                  <a:srgbClr val="FF0000"/>
                </a:solidFill>
                <a:latin typeface="+mn-lt"/>
                <a:ea typeface="+mn-ea"/>
                <a:cs typeface="+mn-cs"/>
              </a:rPr>
              <a:t>Unit sold by Category</a:t>
            </a:r>
          </a:p>
        </c:rich>
      </c:tx>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8724172957207463"/>
              <c:y val="8.0496017497867528E-2"/>
            </c:manualLayout>
          </c:layout>
          <c:spPr>
            <a:noFill/>
            <a:ln>
              <a:noFill/>
            </a:ln>
            <a:effectLst/>
          </c:spPr>
          <c:txPr>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6.2097123835030472E-2"/>
              <c:y val="-0.2228152664505787"/>
            </c:manualLayout>
          </c:layout>
          <c:tx>
            <c:rich>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fld id="{B7B7F9C3-5A9E-4698-B85B-8A0B832DB897}" type="CATEGORYNAME">
                  <a:rPr lang="en-US" sz="1200" b="0" i="0" u="none" strike="noStrike" kern="1200" baseline="0">
                    <a:solidFill>
                      <a:sysClr val="windowText" lastClr="000000">
                        <a:lumMod val="75000"/>
                        <a:lumOff val="25000"/>
                      </a:sysClr>
                    </a:solidFill>
                    <a:latin typeface="+mn-lt"/>
                    <a:ea typeface="+mn-ea"/>
                    <a:cs typeface="+mn-cs"/>
                  </a:rPr>
                  <a:pPr algn="ctr" rtl="0">
                    <a:defRPr/>
                  </a:pPr>
                  <a:t>[CATEGORY NAME]</a:t>
                </a:fld>
                <a:r>
                  <a:rPr lang="en-US" sz="1200" b="0" i="0" u="none" strike="noStrike" kern="1200" baseline="0">
                    <a:solidFill>
                      <a:sysClr val="windowText" lastClr="000000">
                        <a:lumMod val="75000"/>
                        <a:lumOff val="25000"/>
                      </a:sysClr>
                    </a:solidFill>
                    <a:latin typeface="+mn-lt"/>
                    <a:ea typeface="+mn-ea"/>
                    <a:cs typeface="+mn-cs"/>
                  </a:rPr>
                  <a:t>, </a:t>
                </a:r>
                <a:fld id="{5C41C8A7-D215-4DF3-8BE7-A01AD6492F41}" type="VALUE">
                  <a:rPr lang="en-US" sz="1200" b="0" i="0" u="none" strike="noStrike" kern="1200" baseline="0">
                    <a:solidFill>
                      <a:sysClr val="windowText" lastClr="000000">
                        <a:lumMod val="75000"/>
                        <a:lumOff val="25000"/>
                      </a:sysClr>
                    </a:solidFill>
                    <a:latin typeface="+mn-lt"/>
                    <a:ea typeface="+mn-ea"/>
                    <a:cs typeface="+mn-cs"/>
                  </a:rPr>
                  <a:pPr algn="ctr" rtl="0">
                    <a:defRPr/>
                  </a:pPr>
                  <a:t>[VALUE]</a:t>
                </a:fld>
                <a:endParaRPr lang="en-US" sz="1200" b="0" i="0" u="none" strike="noStrike" kern="1200" baseline="0">
                  <a:solidFill>
                    <a:sysClr val="windowText" lastClr="000000">
                      <a:lumMod val="75000"/>
                      <a:lumOff val="25000"/>
                    </a:sysClr>
                  </a:solidFill>
                  <a:latin typeface="+mn-lt"/>
                  <a:ea typeface="+mn-ea"/>
                  <a:cs typeface="+mn-cs"/>
                </a:endParaRPr>
              </a:p>
            </c:rich>
          </c:tx>
          <c:spPr>
            <a:noFill/>
            <a:ln>
              <a:noFill/>
            </a:ln>
            <a:effectLst/>
          </c:spPr>
          <c:txPr>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931307715975235"/>
                  <c:h val="0.10615419725996945"/>
                </c:manualLayout>
              </c15:layout>
              <c15:dlblFieldTable/>
              <c15:showDataLabelsRange val="0"/>
            </c:ext>
          </c:extLst>
        </c:dLbl>
      </c:pivotFmt>
      <c:pivotFmt>
        <c:idx val="8"/>
        <c:spPr>
          <a:solidFill>
            <a:schemeClr val="accent2"/>
          </a:solidFill>
          <a:ln w="19050">
            <a:solidFill>
              <a:schemeClr val="lt1"/>
            </a:solidFill>
          </a:ln>
          <a:effectLst/>
        </c:spPr>
        <c:dLbl>
          <c:idx val="0"/>
          <c:layout>
            <c:manualLayout>
              <c:x val="0.20135327077285517"/>
              <c:y val="0.14425528432394505"/>
            </c:manualLayout>
          </c:layout>
          <c:tx>
            <c:rich>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fld id="{F1A9EEE6-A03B-4A45-9CB0-047387951E4C}" type="CATEGORYNAME">
                  <a:rPr lang="en-US" sz="1200" b="0" i="0" u="none" strike="noStrike" kern="1200" baseline="0">
                    <a:solidFill>
                      <a:sysClr val="windowText" lastClr="000000">
                        <a:lumMod val="75000"/>
                        <a:lumOff val="25000"/>
                      </a:sysClr>
                    </a:solidFill>
                    <a:latin typeface="+mn-lt"/>
                    <a:ea typeface="+mn-ea"/>
                    <a:cs typeface="+mn-cs"/>
                  </a:rPr>
                  <a:pPr algn="ctr" rtl="0">
                    <a:defRPr/>
                  </a:pPr>
                  <a:t>[CATEGORY NAME]</a:t>
                </a:fld>
                <a:r>
                  <a:rPr lang="en-US" sz="1200" b="0" i="0" u="none" strike="noStrike" kern="1200" baseline="0">
                    <a:solidFill>
                      <a:sysClr val="windowText" lastClr="000000">
                        <a:lumMod val="75000"/>
                        <a:lumOff val="25000"/>
                      </a:sysClr>
                    </a:solidFill>
                    <a:latin typeface="+mn-lt"/>
                    <a:ea typeface="+mn-ea"/>
                    <a:cs typeface="+mn-cs"/>
                  </a:rPr>
                  <a:t>, </a:t>
                </a:r>
                <a:fld id="{9385BEC8-E25D-4057-89DE-C49B5C08CC0C}" type="VALUE">
                  <a:rPr lang="en-US" sz="1200" b="0" i="0" u="none" strike="noStrike" kern="1200" baseline="0">
                    <a:solidFill>
                      <a:sysClr val="windowText" lastClr="000000">
                        <a:lumMod val="75000"/>
                        <a:lumOff val="25000"/>
                      </a:sysClr>
                    </a:solidFill>
                    <a:latin typeface="+mn-lt"/>
                    <a:ea typeface="+mn-ea"/>
                    <a:cs typeface="+mn-cs"/>
                  </a:rPr>
                  <a:pPr algn="ctr" rtl="0">
                    <a:defRPr/>
                  </a:pPr>
                  <a:t>[VALUE]</a:t>
                </a:fld>
                <a:endParaRPr lang="en-US" sz="1200" b="0" i="0" u="none" strike="noStrike" kern="1200" baseline="0">
                  <a:solidFill>
                    <a:sysClr val="windowText" lastClr="000000">
                      <a:lumMod val="75000"/>
                      <a:lumOff val="25000"/>
                    </a:sysClr>
                  </a:solidFill>
                  <a:latin typeface="+mn-lt"/>
                  <a:ea typeface="+mn-ea"/>
                  <a:cs typeface="+mn-cs"/>
                </a:endParaRPr>
              </a:p>
            </c:rich>
          </c:tx>
          <c:spPr>
            <a:noFill/>
            <a:ln>
              <a:noFill/>
            </a:ln>
            <a:effectLst/>
          </c:spPr>
          <c:txPr>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804779747939247"/>
                  <c:h val="6.0708836457613415E-2"/>
                </c:manualLayout>
              </c15:layout>
              <c15:dlblFieldTable/>
              <c15:showDataLabelsRange val="0"/>
            </c:ext>
          </c:extLst>
        </c:dLbl>
      </c:pivotFmt>
    </c:pivotFmts>
    <c:plotArea>
      <c:layout>
        <c:manualLayout>
          <c:layoutTarget val="inner"/>
          <c:xMode val="edge"/>
          <c:yMode val="edge"/>
          <c:x val="0.2507166168470612"/>
          <c:y val="0.17421551962800999"/>
          <c:w val="0.49856693486211595"/>
          <c:h val="0.7337661210059051"/>
        </c:manualLayout>
      </c:layout>
      <c:pieChart>
        <c:varyColors val="1"/>
        <c:ser>
          <c:idx val="0"/>
          <c:order val="0"/>
          <c:tx>
            <c:strRef>
              <c:f>'Pivot Table'!$K$3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48C-44C8-A873-23BF0CA2E78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48C-44C8-A873-23BF0CA2E78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48C-44C8-A873-23BF0CA2E789}"/>
              </c:ext>
            </c:extLst>
          </c:dPt>
          <c:dLbls>
            <c:dLbl>
              <c:idx val="0"/>
              <c:layout>
                <c:manualLayout>
                  <c:x val="-0.18724172957207463"/>
                  <c:y val="8.049601749786752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8C-44C8-A873-23BF0CA2E789}"/>
                </c:ext>
              </c:extLst>
            </c:dLbl>
            <c:dLbl>
              <c:idx val="1"/>
              <c:layout>
                <c:manualLayout>
                  <c:x val="6.2097123835030472E-2"/>
                  <c:y val="-0.2228152664505787"/>
                </c:manualLayout>
              </c:layout>
              <c:tx>
                <c:rich>
                  <a:bodyPr/>
                  <a:lstStyle/>
                  <a:p>
                    <a:fld id="{B7B7F9C3-5A9E-4698-B85B-8A0B832DB897}" type="CATEGORYNAME">
                      <a:rPr lang="en-US" sz="1200" b="0" i="0" u="none" strike="noStrike" kern="1200" baseline="0">
                        <a:solidFill>
                          <a:sysClr val="windowText" lastClr="000000">
                            <a:lumMod val="75000"/>
                            <a:lumOff val="25000"/>
                          </a:sysClr>
                        </a:solidFill>
                        <a:latin typeface="+mn-lt"/>
                        <a:ea typeface="+mn-ea"/>
                        <a:cs typeface="+mn-cs"/>
                      </a:rPr>
                      <a:pPr/>
                      <a:t>[CATEGORY NAME]</a:t>
                    </a:fld>
                    <a:r>
                      <a:rPr lang="en-US" sz="1200" b="0" i="0" u="none" strike="noStrike" kern="1200" baseline="0">
                        <a:solidFill>
                          <a:sysClr val="windowText" lastClr="000000">
                            <a:lumMod val="75000"/>
                            <a:lumOff val="25000"/>
                          </a:sysClr>
                        </a:solidFill>
                        <a:latin typeface="+mn-lt"/>
                        <a:ea typeface="+mn-ea"/>
                        <a:cs typeface="+mn-cs"/>
                      </a:rPr>
                      <a:t>, </a:t>
                    </a:r>
                    <a:fld id="{5C41C8A7-D215-4DF3-8BE7-A01AD6492F41}" type="VALUE">
                      <a:rPr lang="en-US" sz="1200" b="0" i="0" u="none" strike="noStrike" kern="1200" baseline="0">
                        <a:solidFill>
                          <a:sysClr val="windowText" lastClr="000000">
                            <a:lumMod val="75000"/>
                            <a:lumOff val="25000"/>
                          </a:sysClr>
                        </a:solidFill>
                        <a:latin typeface="+mn-lt"/>
                        <a:ea typeface="+mn-ea"/>
                        <a:cs typeface="+mn-cs"/>
                      </a:rPr>
                      <a:pPr/>
                      <a:t>[VALUE]</a:t>
                    </a:fld>
                    <a:endParaRPr lang="en-US" sz="1200" b="0" i="0" u="none" strike="noStrike" kern="1200" baseline="0">
                      <a:solidFill>
                        <a:sysClr val="windowText" lastClr="000000">
                          <a:lumMod val="75000"/>
                          <a:lumOff val="25000"/>
                        </a:sysClr>
                      </a:solidFill>
                      <a:latin typeface="+mn-lt"/>
                      <a:ea typeface="+mn-ea"/>
                      <a:cs typeface="+mn-cs"/>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21931307715975235"/>
                      <c:h val="0.10615419725996945"/>
                    </c:manualLayout>
                  </c15:layout>
                  <c15:dlblFieldTable/>
                  <c15:showDataLabelsRange val="0"/>
                </c:ext>
                <c:ext xmlns:c16="http://schemas.microsoft.com/office/drawing/2014/chart" uri="{C3380CC4-5D6E-409C-BE32-E72D297353CC}">
                  <c16:uniqueId val="{00000003-C48C-44C8-A873-23BF0CA2E789}"/>
                </c:ext>
              </c:extLst>
            </c:dLbl>
            <c:dLbl>
              <c:idx val="2"/>
              <c:layout>
                <c:manualLayout>
                  <c:x val="0.20135327077285517"/>
                  <c:y val="0.14425528432394505"/>
                </c:manualLayout>
              </c:layout>
              <c:tx>
                <c:rich>
                  <a:bodyPr/>
                  <a:lstStyle/>
                  <a:p>
                    <a:fld id="{F1A9EEE6-A03B-4A45-9CB0-047387951E4C}" type="CATEGORYNAME">
                      <a:rPr lang="en-US" sz="1200" b="0" i="0" u="none" strike="noStrike" kern="1200" baseline="0">
                        <a:solidFill>
                          <a:sysClr val="windowText" lastClr="000000">
                            <a:lumMod val="75000"/>
                            <a:lumOff val="25000"/>
                          </a:sysClr>
                        </a:solidFill>
                        <a:latin typeface="+mn-lt"/>
                        <a:ea typeface="+mn-ea"/>
                        <a:cs typeface="+mn-cs"/>
                      </a:rPr>
                      <a:pPr/>
                      <a:t>[CATEGORY NAME]</a:t>
                    </a:fld>
                    <a:r>
                      <a:rPr lang="en-US" sz="1200" b="0" i="0" u="none" strike="noStrike" kern="1200" baseline="0">
                        <a:solidFill>
                          <a:sysClr val="windowText" lastClr="000000">
                            <a:lumMod val="75000"/>
                            <a:lumOff val="25000"/>
                          </a:sysClr>
                        </a:solidFill>
                        <a:latin typeface="+mn-lt"/>
                        <a:ea typeface="+mn-ea"/>
                        <a:cs typeface="+mn-cs"/>
                      </a:rPr>
                      <a:t>, </a:t>
                    </a:r>
                    <a:fld id="{9385BEC8-E25D-4057-89DE-C49B5C08CC0C}" type="VALUE">
                      <a:rPr lang="en-US" sz="1200" b="0" i="0" u="none" strike="noStrike" kern="1200" baseline="0">
                        <a:solidFill>
                          <a:sysClr val="windowText" lastClr="000000">
                            <a:lumMod val="75000"/>
                            <a:lumOff val="25000"/>
                          </a:sysClr>
                        </a:solidFill>
                        <a:latin typeface="+mn-lt"/>
                        <a:ea typeface="+mn-ea"/>
                        <a:cs typeface="+mn-cs"/>
                      </a:rPr>
                      <a:pPr/>
                      <a:t>[VALUE]</a:t>
                    </a:fld>
                    <a:endParaRPr lang="en-US" sz="1200" b="0" i="0" u="none" strike="noStrike" kern="1200" baseline="0">
                      <a:solidFill>
                        <a:sysClr val="windowText" lastClr="000000">
                          <a:lumMod val="75000"/>
                          <a:lumOff val="25000"/>
                        </a:sysClr>
                      </a:solidFill>
                      <a:latin typeface="+mn-lt"/>
                      <a:ea typeface="+mn-ea"/>
                      <a:cs typeface="+mn-cs"/>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22804779747939247"/>
                      <c:h val="6.0708836457613415E-2"/>
                    </c:manualLayout>
                  </c15:layout>
                  <c15:dlblFieldTable/>
                  <c15:showDataLabelsRange val="0"/>
                </c:ext>
                <c:ext xmlns:c16="http://schemas.microsoft.com/office/drawing/2014/chart" uri="{C3380CC4-5D6E-409C-BE32-E72D297353CC}">
                  <c16:uniqueId val="{00000005-C48C-44C8-A873-23BF0CA2E789}"/>
                </c:ext>
              </c:extLst>
            </c:dLbl>
            <c:spPr>
              <a:noFill/>
              <a:ln>
                <a:noFill/>
              </a:ln>
              <a:effectLst/>
            </c:spPr>
            <c:txPr>
              <a:bodyPr rot="0" spcFirstLastPara="1" vertOverflow="ellipsis" vert="horz" wrap="square" anchor="ctr" anchorCtr="0"/>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Table'!$J$4:$J$7</c:f>
              <c:strCache>
                <c:ptCount val="3"/>
                <c:pt idx="0">
                  <c:v>Budget</c:v>
                </c:pt>
                <c:pt idx="1">
                  <c:v>Flagship</c:v>
                </c:pt>
                <c:pt idx="2">
                  <c:v>Mid-range</c:v>
                </c:pt>
              </c:strCache>
            </c:strRef>
          </c:cat>
          <c:val>
            <c:numRef>
              <c:f>'Pivot Table'!$K$4:$K$7</c:f>
              <c:numCache>
                <c:formatCode>General</c:formatCode>
                <c:ptCount val="3"/>
                <c:pt idx="0">
                  <c:v>22052</c:v>
                </c:pt>
                <c:pt idx="1">
                  <c:v>21996</c:v>
                </c:pt>
                <c:pt idx="2">
                  <c:v>22916</c:v>
                </c:pt>
              </c:numCache>
            </c:numRef>
          </c:val>
          <c:extLst>
            <c:ext xmlns:c16="http://schemas.microsoft.com/office/drawing/2014/chart" uri="{C3380CC4-5D6E-409C-BE32-E72D297353CC}">
              <c16:uniqueId val="{00000006-C48C-44C8-A873-23BF0CA2E78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baseline="0">
          <a:solidFill>
            <a:sysClr val="windowText" lastClr="000000">
              <a:lumMod val="75000"/>
              <a:lumOff val="2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[Mobile_Brand_Sales_Dataset.xlsx]Pivot Table!units sold by each year</c:name>
    <c:fmtId val="11"/>
  </c:pivotSource>
  <c:chart>
    <c:title>
      <c:tx>
        <c:rich>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r>
              <a:rPr lang="en-US" sz="1800" b="1" i="1" u="none" strike="noStrike" kern="1200" spc="0" baseline="0">
                <a:solidFill>
                  <a:srgbClr val="FF0000"/>
                </a:solidFill>
                <a:latin typeface="+mn-lt"/>
                <a:ea typeface="+mn-ea"/>
                <a:cs typeface="+mn-cs"/>
              </a:rPr>
              <a:t>Unit Sold Per Year</a:t>
            </a:r>
          </a:p>
        </c:rich>
      </c:tx>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Table'!$E$18</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Table'!$D$19:$D$25</c:f>
              <c:strCache>
                <c:ptCount val="6"/>
                <c:pt idx="0">
                  <c:v>2019</c:v>
                </c:pt>
                <c:pt idx="1">
                  <c:v>2020</c:v>
                </c:pt>
                <c:pt idx="2">
                  <c:v>2021</c:v>
                </c:pt>
                <c:pt idx="3">
                  <c:v>2022</c:v>
                </c:pt>
                <c:pt idx="4">
                  <c:v>2023</c:v>
                </c:pt>
                <c:pt idx="5">
                  <c:v>2024</c:v>
                </c:pt>
              </c:strCache>
            </c:strRef>
          </c:cat>
          <c:val>
            <c:numRef>
              <c:f>'Pivot Table'!$E$19:$E$25</c:f>
              <c:numCache>
                <c:formatCode>General</c:formatCode>
                <c:ptCount val="6"/>
                <c:pt idx="0">
                  <c:v>66964</c:v>
                </c:pt>
                <c:pt idx="1">
                  <c:v>59575</c:v>
                </c:pt>
                <c:pt idx="2">
                  <c:v>68737</c:v>
                </c:pt>
                <c:pt idx="3">
                  <c:v>70668</c:v>
                </c:pt>
                <c:pt idx="4">
                  <c:v>60864</c:v>
                </c:pt>
                <c:pt idx="5">
                  <c:v>55365</c:v>
                </c:pt>
              </c:numCache>
            </c:numRef>
          </c:val>
          <c:smooth val="1"/>
          <c:extLst>
            <c:ext xmlns:c16="http://schemas.microsoft.com/office/drawing/2014/chart" uri="{C3380CC4-5D6E-409C-BE32-E72D297353CC}">
              <c16:uniqueId val="{00000000-608D-4B27-A792-A3FDC5683840}"/>
            </c:ext>
          </c:extLst>
        </c:ser>
        <c:dLbls>
          <c:showLegendKey val="0"/>
          <c:showVal val="0"/>
          <c:showCatName val="0"/>
          <c:showSerName val="0"/>
          <c:showPercent val="0"/>
          <c:showBubbleSize val="0"/>
        </c:dLbls>
        <c:smooth val="0"/>
        <c:axId val="1034063472"/>
        <c:axId val="1034063952"/>
      </c:lineChart>
      <c:catAx>
        <c:axId val="10340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crossAx val="1034063952"/>
        <c:crosses val="autoZero"/>
        <c:auto val="1"/>
        <c:lblAlgn val="ctr"/>
        <c:lblOffset val="100"/>
        <c:noMultiLvlLbl val="0"/>
      </c:catAx>
      <c:valAx>
        <c:axId val="1034063952"/>
        <c:scaling>
          <c:orientation val="minMax"/>
        </c:scaling>
        <c:delete val="1"/>
        <c:axPos val="l"/>
        <c:numFmt formatCode="General" sourceLinked="1"/>
        <c:majorTickMark val="none"/>
        <c:minorTickMark val="none"/>
        <c:tickLblPos val="nextTo"/>
        <c:crossAx val="103406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[Mobile_Brand_Sales_Dataset.xlsx]Pivot Table!sales sold per each city</c:name>
    <c:fmtId val="3"/>
  </c:pivotSource>
  <c:chart>
    <c:title>
      <c:tx>
        <c:rich>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r>
              <a:rPr lang="en-US" sz="1800" b="1" i="1" u="none" strike="noStrike" kern="1200" spc="0" baseline="0">
                <a:solidFill>
                  <a:srgbClr val="FF0000"/>
                </a:solidFill>
                <a:latin typeface="+mn-lt"/>
                <a:ea typeface="+mn-ea"/>
                <a:cs typeface="+mn-cs"/>
              </a:rPr>
              <a:t>Sales Done In Different Cities  </a:t>
            </a:r>
          </a:p>
        </c:rich>
      </c:tx>
      <c:overlay val="0"/>
      <c:spPr>
        <a:noFill/>
        <a:ln>
          <a:noFill/>
        </a:ln>
        <a:effectLst/>
      </c:spPr>
      <c:txPr>
        <a:bodyPr rot="0" spcFirstLastPara="1" vertOverflow="ellipsis" vert="horz" wrap="square" anchor="ctr" anchorCtr="1"/>
        <a:lstStyle/>
        <a:p>
          <a:pPr algn="ctr" rtl="0">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215596904995221E-2"/>
          <c:y val="0.11783740792760913"/>
          <c:w val="0.95332568680901053"/>
          <c:h val="0.80660807986761829"/>
        </c:manualLayout>
      </c:layout>
      <c:barChart>
        <c:barDir val="col"/>
        <c:grouping val="clustered"/>
        <c:varyColors val="0"/>
        <c:ser>
          <c:idx val="0"/>
          <c:order val="0"/>
          <c:tx>
            <c:strRef>
              <c:f>'Pivot Table'!$B$18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Table'!$A$19:$A$27</c:f>
              <c:strCache>
                <c:ptCount val="8"/>
                <c:pt idx="0">
                  <c:v>Ahmedabad</c:v>
                </c:pt>
                <c:pt idx="1">
                  <c:v>Bangalore</c:v>
                </c:pt>
                <c:pt idx="2">
                  <c:v>Chennai</c:v>
                </c:pt>
                <c:pt idx="3">
                  <c:v>Delhi</c:v>
                </c:pt>
                <c:pt idx="4">
                  <c:v>Hyderabad</c:v>
                </c:pt>
                <c:pt idx="5">
                  <c:v>Kolkata</c:v>
                </c:pt>
                <c:pt idx="6">
                  <c:v>Mumbai</c:v>
                </c:pt>
                <c:pt idx="7">
                  <c:v>Pune</c:v>
                </c:pt>
              </c:strCache>
            </c:strRef>
          </c:cat>
          <c:val>
            <c:numRef>
              <c:f>'Pivot Table'!$B$19:$B$27</c:f>
              <c:numCache>
                <c:formatCode>#,##0</c:formatCode>
                <c:ptCount val="8"/>
                <c:pt idx="0">
                  <c:v>439677456</c:v>
                </c:pt>
                <c:pt idx="1">
                  <c:v>543764614</c:v>
                </c:pt>
                <c:pt idx="2">
                  <c:v>201661694</c:v>
                </c:pt>
                <c:pt idx="3">
                  <c:v>247689424</c:v>
                </c:pt>
                <c:pt idx="4">
                  <c:v>246430285</c:v>
                </c:pt>
                <c:pt idx="5">
                  <c:v>438432531</c:v>
                </c:pt>
                <c:pt idx="6">
                  <c:v>178592648</c:v>
                </c:pt>
                <c:pt idx="7">
                  <c:v>211591478</c:v>
                </c:pt>
              </c:numCache>
            </c:numRef>
          </c:val>
          <c:extLst>
            <c:ext xmlns:c16="http://schemas.microsoft.com/office/drawing/2014/chart" uri="{C3380CC4-5D6E-409C-BE32-E72D297353CC}">
              <c16:uniqueId val="{00000000-1A94-4EC8-B9A5-683360DECA1E}"/>
            </c:ext>
          </c:extLst>
        </c:ser>
        <c:dLbls>
          <c:showLegendKey val="0"/>
          <c:showVal val="1"/>
          <c:showCatName val="0"/>
          <c:showSerName val="0"/>
          <c:showPercent val="0"/>
          <c:showBubbleSize val="0"/>
        </c:dLbls>
        <c:gapWidth val="150"/>
        <c:axId val="716425408"/>
        <c:axId val="716423488"/>
      </c:barChart>
      <c:catAx>
        <c:axId val="7164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crossAx val="716423488"/>
        <c:crosses val="autoZero"/>
        <c:auto val="1"/>
        <c:lblAlgn val="ctr"/>
        <c:lblOffset val="100"/>
        <c:noMultiLvlLbl val="0"/>
      </c:catAx>
      <c:valAx>
        <c:axId val="716423488"/>
        <c:scaling>
          <c:orientation val="minMax"/>
        </c:scaling>
        <c:delete val="1"/>
        <c:axPos val="l"/>
        <c:numFmt formatCode="#,##0" sourceLinked="1"/>
        <c:majorTickMark val="none"/>
        <c:minorTickMark val="none"/>
        <c:tickLblPos val="nextTo"/>
        <c:crossAx val="71642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[Mobile_Brand_Sales_Dataset.xlsx]Pivot Table!sales amount by each representative</c:name>
    <c:fmtId val="36"/>
  </c:pivotSource>
  <c:chart>
    <c:title>
      <c:tx>
        <c:rich>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r>
              <a:rPr lang="en-IN" sz="1800" b="1" i="1" u="none" strike="noStrike" kern="1200" spc="0" baseline="0">
                <a:solidFill>
                  <a:srgbClr val="FF0000"/>
                </a:solidFill>
                <a:latin typeface="+mn-lt"/>
                <a:ea typeface="+mn-ea"/>
                <a:cs typeface="+mn-cs"/>
              </a:rPr>
              <a:t>Sales By Representatives </a:t>
            </a:r>
          </a:p>
        </c:rich>
      </c:tx>
      <c:overlay val="0"/>
      <c:spPr>
        <a:noFill/>
        <a:ln>
          <a:noFill/>
        </a:ln>
        <a:effectLst/>
      </c:spPr>
      <c:txPr>
        <a:bodyPr rot="0" spcFirstLastPara="1" vertOverflow="ellipsis" vert="horz" wrap="square" anchor="ctr" anchorCtr="1"/>
        <a:lstStyle/>
        <a:p>
          <a:pPr algn="ctr" rtl="0">
            <a:defRPr lang="en-IN" sz="18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A7-44BC-B4D3-BBAF265E28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A7-44BC-B4D3-BBAF265E28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A7-44BC-B4D3-BBAF265E28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A7-44BC-B4D3-BBAF265E28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A7-44BC-B4D3-BBAF265E28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A7-44BC-B4D3-BBAF265E28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A7-44BC-B4D3-BBAF265E28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A7-44BC-B4D3-BBAF265E284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A7-44BC-B4D3-BBAF265E284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A7-44BC-B4D3-BBAF265E2840}"/>
              </c:ext>
            </c:extLst>
          </c:dPt>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Table'!$G$4:$G$14</c:f>
              <c:strCache>
                <c:ptCount val="10"/>
                <c:pt idx="0">
                  <c:v>Ankit</c:v>
                </c:pt>
                <c:pt idx="1">
                  <c:v>Arjun</c:v>
                </c:pt>
                <c:pt idx="2">
                  <c:v>Divya</c:v>
                </c:pt>
                <c:pt idx="3">
                  <c:v>Kavya</c:v>
                </c:pt>
                <c:pt idx="4">
                  <c:v>Meera</c:v>
                </c:pt>
                <c:pt idx="5">
                  <c:v>Neha</c:v>
                </c:pt>
                <c:pt idx="6">
                  <c:v>Priya</c:v>
                </c:pt>
                <c:pt idx="7">
                  <c:v>Rahul</c:v>
                </c:pt>
                <c:pt idx="8">
                  <c:v>Rohan</c:v>
                </c:pt>
                <c:pt idx="9">
                  <c:v>Sanjay</c:v>
                </c:pt>
              </c:strCache>
            </c:strRef>
          </c:cat>
          <c:val>
            <c:numRef>
              <c:f>'Pivot Table'!$H$4:$H$14</c:f>
              <c:numCache>
                <c:formatCode>#,##0</c:formatCode>
                <c:ptCount val="10"/>
                <c:pt idx="0">
                  <c:v>146564393</c:v>
                </c:pt>
                <c:pt idx="1">
                  <c:v>137287072</c:v>
                </c:pt>
                <c:pt idx="2">
                  <c:v>328956385</c:v>
                </c:pt>
                <c:pt idx="3">
                  <c:v>219615393</c:v>
                </c:pt>
                <c:pt idx="4">
                  <c:v>346960904</c:v>
                </c:pt>
                <c:pt idx="5">
                  <c:v>250576092</c:v>
                </c:pt>
                <c:pt idx="6">
                  <c:v>87550225</c:v>
                </c:pt>
                <c:pt idx="7">
                  <c:v>319914158</c:v>
                </c:pt>
                <c:pt idx="8">
                  <c:v>296573912</c:v>
                </c:pt>
                <c:pt idx="9">
                  <c:v>373841596</c:v>
                </c:pt>
              </c:numCache>
            </c:numRef>
          </c:val>
          <c:extLst>
            <c:ext xmlns:c16="http://schemas.microsoft.com/office/drawing/2014/chart" uri="{C3380CC4-5D6E-409C-BE32-E72D297353CC}">
              <c16:uniqueId val="{00000014-23A7-44BC-B4D3-BBAF265E2840}"/>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Entry>
      <c:layout>
        <c:manualLayout>
          <c:xMode val="edge"/>
          <c:yMode val="edge"/>
          <c:x val="0.83436976543428676"/>
          <c:y val="0.14262475001695421"/>
          <c:w val="0.13096188577994319"/>
          <c:h val="0.5545300429717579"/>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551922</xdr:colOff>
      <xdr:row>8</xdr:row>
      <xdr:rowOff>167535</xdr:rowOff>
    </xdr:from>
    <xdr:to>
      <xdr:col>28</xdr:col>
      <xdr:colOff>495822</xdr:colOff>
      <xdr:row>54</xdr:row>
      <xdr:rowOff>47624</xdr:rowOff>
    </xdr:to>
    <xdr:graphicFrame macro="">
      <xdr:nvGraphicFramePr>
        <xdr:cNvPr id="2" name="Chart 1">
          <a:extLst>
            <a:ext uri="{FF2B5EF4-FFF2-40B4-BE49-F238E27FC236}">
              <a16:creationId xmlns:a16="http://schemas.microsoft.com/office/drawing/2014/main" id="{13CAD45F-267C-4D3F-8459-110DD1E21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403157</xdr:colOff>
      <xdr:row>30</xdr:row>
      <xdr:rowOff>148883</xdr:rowOff>
    </xdr:from>
    <xdr:to>
      <xdr:col>17</xdr:col>
      <xdr:colOff>245215</xdr:colOff>
      <xdr:row>54</xdr:row>
      <xdr:rowOff>81976</xdr:rowOff>
    </xdr:to>
    <xdr:graphicFrame macro="">
      <xdr:nvGraphicFramePr>
        <xdr:cNvPr id="3" name="Chart 2">
          <a:extLst>
            <a:ext uri="{FF2B5EF4-FFF2-40B4-BE49-F238E27FC236}">
              <a16:creationId xmlns:a16="http://schemas.microsoft.com/office/drawing/2014/main" id="{5EDC234C-D4B4-4944-B8A4-7E02CBD68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275744</xdr:colOff>
      <xdr:row>9</xdr:row>
      <xdr:rowOff>70556</xdr:rowOff>
    </xdr:from>
    <xdr:to>
      <xdr:col>17</xdr:col>
      <xdr:colOff>127482</xdr:colOff>
      <xdr:row>29</xdr:row>
      <xdr:rowOff>48586</xdr:rowOff>
    </xdr:to>
    <xdr:graphicFrame macro="">
      <xdr:nvGraphicFramePr>
        <xdr:cNvPr id="4" name="Chart 3">
          <a:extLst>
            <a:ext uri="{FF2B5EF4-FFF2-40B4-BE49-F238E27FC236}">
              <a16:creationId xmlns:a16="http://schemas.microsoft.com/office/drawing/2014/main" id="{E2DB657C-3E9C-4096-A447-0928237C4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94609</xdr:colOff>
      <xdr:row>35</xdr:row>
      <xdr:rowOff>25175</xdr:rowOff>
    </xdr:from>
    <xdr:to>
      <xdr:col>42</xdr:col>
      <xdr:colOff>79375</xdr:colOff>
      <xdr:row>54</xdr:row>
      <xdr:rowOff>5675</xdr:rowOff>
    </xdr:to>
    <xdr:graphicFrame macro="">
      <xdr:nvGraphicFramePr>
        <xdr:cNvPr id="6" name="Chart 5">
          <a:extLst>
            <a:ext uri="{FF2B5EF4-FFF2-40B4-BE49-F238E27FC236}">
              <a16:creationId xmlns:a16="http://schemas.microsoft.com/office/drawing/2014/main" id="{25BCFCFB-5A75-4E3E-A16F-A767A9280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55931</xdr:colOff>
      <xdr:row>9</xdr:row>
      <xdr:rowOff>21747</xdr:rowOff>
    </xdr:from>
    <xdr:to>
      <xdr:col>42</xdr:col>
      <xdr:colOff>47624</xdr:colOff>
      <xdr:row>34</xdr:row>
      <xdr:rowOff>42906</xdr:rowOff>
    </xdr:to>
    <xdr:graphicFrame macro="">
      <xdr:nvGraphicFramePr>
        <xdr:cNvPr id="7" name="Chart 6">
          <a:extLst>
            <a:ext uri="{FF2B5EF4-FFF2-40B4-BE49-F238E27FC236}">
              <a16:creationId xmlns:a16="http://schemas.microsoft.com/office/drawing/2014/main" id="{EEEC733A-B022-463C-BC3D-C508B84E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38734</xdr:colOff>
      <xdr:row>17</xdr:row>
      <xdr:rowOff>72793</xdr:rowOff>
    </xdr:from>
    <xdr:to>
      <xdr:col>6</xdr:col>
      <xdr:colOff>81567</xdr:colOff>
      <xdr:row>28</xdr:row>
      <xdr:rowOff>10799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B5C7984A-0B59-DE4B-37C4-25EA387C43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39825" y="3213157"/>
              <a:ext cx="1843924" cy="1970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12754</xdr:colOff>
      <xdr:row>29</xdr:row>
      <xdr:rowOff>53237</xdr:rowOff>
    </xdr:from>
    <xdr:to>
      <xdr:col>6</xdr:col>
      <xdr:colOff>207818</xdr:colOff>
      <xdr:row>37</xdr:row>
      <xdr:rowOff>96982</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A02783EA-2744-EC85-E1E4-6F92DD8FECB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13481" y="5410328"/>
              <a:ext cx="2596519" cy="152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340591</xdr:colOff>
      <xdr:row>2</xdr:row>
      <xdr:rowOff>136896</xdr:rowOff>
    </xdr:from>
    <xdr:ext cx="6591300" cy="741229"/>
    <xdr:sp macro="" textlink="">
      <xdr:nvSpPr>
        <xdr:cNvPr id="5" name="TextBox 4">
          <a:extLst>
            <a:ext uri="{FF2B5EF4-FFF2-40B4-BE49-F238E27FC236}">
              <a16:creationId xmlns:a16="http://schemas.microsoft.com/office/drawing/2014/main" id="{3E11D2ED-3FD1-A004-E725-B474217389DB}"/>
            </a:ext>
          </a:extLst>
        </xdr:cNvPr>
        <xdr:cNvSpPr txBox="1"/>
      </xdr:nvSpPr>
      <xdr:spPr>
        <a:xfrm>
          <a:off x="13911448" y="499753"/>
          <a:ext cx="6591300" cy="7412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r>
            <a:rPr lang="en-IN" sz="4400" b="1">
              <a:solidFill>
                <a:srgbClr val="FF0000"/>
              </a:solidFill>
              <a:latin typeface="Times New Roman" panose="02020603050405020304" pitchFamily="18" charset="0"/>
              <a:cs typeface="Times New Roman" panose="02020603050405020304" pitchFamily="18" charset="0"/>
            </a:rPr>
            <a:t>Sales</a:t>
          </a:r>
          <a:r>
            <a:rPr lang="en-IN" sz="4400" b="1" baseline="0">
              <a:solidFill>
                <a:srgbClr val="FF0000"/>
              </a:solidFill>
              <a:latin typeface="Times New Roman" panose="02020603050405020304" pitchFamily="18" charset="0"/>
              <a:cs typeface="Times New Roman" panose="02020603050405020304" pitchFamily="18" charset="0"/>
            </a:rPr>
            <a:t> Analysis Dashboard</a:t>
          </a:r>
          <a:endParaRPr lang="en-IN" sz="4400" b="1">
            <a:solidFill>
              <a:srgbClr val="FF0000"/>
            </a:solidFill>
            <a:latin typeface="Times New Roman" panose="02020603050405020304" pitchFamily="18" charset="0"/>
            <a:cs typeface="Times New Roman" panose="02020603050405020304" pitchFamily="18" charset="0"/>
          </a:endParaRPr>
        </a:p>
      </xdr:txBody>
    </xdr:sp>
    <xdr:clientData/>
  </xdr:oneCellAnchor>
  <xdr:twoCellAnchor>
    <xdr:from>
      <xdr:col>42</xdr:col>
      <xdr:colOff>249968</xdr:colOff>
      <xdr:row>9</xdr:row>
      <xdr:rowOff>28222</xdr:rowOff>
    </xdr:from>
    <xdr:to>
      <xdr:col>56</xdr:col>
      <xdr:colOff>141111</xdr:colOff>
      <xdr:row>53</xdr:row>
      <xdr:rowOff>155222</xdr:rowOff>
    </xdr:to>
    <xdr:graphicFrame macro="">
      <xdr:nvGraphicFramePr>
        <xdr:cNvPr id="10" name="Chart 9">
          <a:extLst>
            <a:ext uri="{FF2B5EF4-FFF2-40B4-BE49-F238E27FC236}">
              <a16:creationId xmlns:a16="http://schemas.microsoft.com/office/drawing/2014/main" id="{2A4D2466-8FF6-4D2F-ADE5-DBAD34B2C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in Chacko" refreshedDate="45954.923431249998" createdVersion="8" refreshedVersion="8" minRefreshableVersion="3" recordCount="384" xr:uid="{459DAC4D-13F6-49A1-9A85-7F050D39478F}">
  <cacheSource type="worksheet">
    <worksheetSource ref="A1:G385" sheet="Data Set"/>
  </cacheSource>
  <cacheFields count="7">
    <cacheField name="Brand" numFmtId="0">
      <sharedItems count="8">
        <s v="Samsung"/>
        <s v="Apple"/>
        <s v="Xiaomi"/>
        <s v="OnePlus"/>
        <s v="Vivo"/>
        <s v="Oppo"/>
        <s v="Realme"/>
        <s v="Motorola"/>
      </sharedItems>
    </cacheField>
    <cacheField name="Category" numFmtId="0">
      <sharedItems count="3">
        <s v="Budget"/>
        <s v="Mid-range"/>
        <s v="Flagship"/>
      </sharedItems>
    </cacheField>
    <cacheField name="Year" numFmtId="0">
      <sharedItems containsSemiMixedTypes="0" containsString="0" containsNumber="1" containsInteger="1" minValue="2019" maxValue="2024" count="6">
        <n v="2019"/>
        <n v="2020"/>
        <n v="2021"/>
        <n v="2022"/>
        <n v="2023"/>
        <n v="2024"/>
      </sharedItems>
    </cacheField>
    <cacheField name="City" numFmtId="0">
      <sharedItems count="8">
        <s v="Mumbai"/>
        <s v="Delhi"/>
        <s v="Chennai"/>
        <s v="Bangalore"/>
        <s v="Hyderabad"/>
        <s v="Kolkata"/>
        <s v="Pune"/>
        <s v="Ahmedabad"/>
      </sharedItems>
    </cacheField>
    <cacheField name="Sales Representative" numFmtId="0">
      <sharedItems count="10">
        <s v="Divya"/>
        <s v="Priya"/>
        <s v="Ankit"/>
        <s v="Sanjay"/>
        <s v="Meera"/>
        <s v="Kavya"/>
        <s v="Rohan"/>
        <s v="Neha"/>
        <s v="Rahul"/>
        <s v="Arjun"/>
      </sharedItems>
    </cacheField>
    <cacheField name="Units Sold" numFmtId="0">
      <sharedItems containsSemiMixedTypes="0" containsString="0" containsNumber="1" containsInteger="1" minValue="52" maxValue="2000"/>
    </cacheField>
    <cacheField name="Sales Amount (₹)" numFmtId="0">
      <sharedItems containsSemiMixedTypes="0" containsString="0" containsNumber="1" containsInteger="1" minValue="375076" maxValue="217894000"/>
    </cacheField>
  </cacheFields>
  <extLst>
    <ext xmlns:x14="http://schemas.microsoft.com/office/spreadsheetml/2009/9/main" uri="{725AE2AE-9491-48be-B2B4-4EB974FC3084}">
      <x14:pivotCacheDefinition pivotCacheId="1430188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x v="0"/>
    <x v="0"/>
    <x v="0"/>
    <n v="652"/>
    <n v="6024480"/>
  </r>
  <r>
    <x v="1"/>
    <x v="0"/>
    <x v="0"/>
    <x v="0"/>
    <x v="1"/>
    <n v="1141"/>
    <n v="10300948"/>
  </r>
  <r>
    <x v="2"/>
    <x v="0"/>
    <x v="0"/>
    <x v="0"/>
    <x v="2"/>
    <n v="1694"/>
    <n v="25191474"/>
  </r>
  <r>
    <x v="3"/>
    <x v="1"/>
    <x v="0"/>
    <x v="0"/>
    <x v="3"/>
    <n v="1343"/>
    <n v="47285687"/>
  </r>
  <r>
    <x v="4"/>
    <x v="2"/>
    <x v="0"/>
    <x v="0"/>
    <x v="4"/>
    <n v="211"/>
    <n v="10088121"/>
  </r>
  <r>
    <x v="5"/>
    <x v="0"/>
    <x v="0"/>
    <x v="0"/>
    <x v="5"/>
    <n v="1286"/>
    <n v="9617994"/>
  </r>
  <r>
    <x v="6"/>
    <x v="2"/>
    <x v="0"/>
    <x v="0"/>
    <x v="1"/>
    <n v="697"/>
    <n v="68993939"/>
  </r>
  <r>
    <x v="7"/>
    <x v="0"/>
    <x v="0"/>
    <x v="0"/>
    <x v="2"/>
    <n v="105"/>
    <n v="1090005"/>
  </r>
  <r>
    <x v="0"/>
    <x v="0"/>
    <x v="0"/>
    <x v="1"/>
    <x v="6"/>
    <n v="592"/>
    <n v="8844480"/>
  </r>
  <r>
    <x v="1"/>
    <x v="2"/>
    <x v="0"/>
    <x v="1"/>
    <x v="7"/>
    <n v="1664"/>
    <n v="67608320"/>
  </r>
  <r>
    <x v="2"/>
    <x v="1"/>
    <x v="0"/>
    <x v="1"/>
    <x v="5"/>
    <n v="1897"/>
    <n v="40658401"/>
  </r>
  <r>
    <x v="3"/>
    <x v="0"/>
    <x v="0"/>
    <x v="1"/>
    <x v="8"/>
    <n v="1319"/>
    <n v="19274547"/>
  </r>
  <r>
    <x v="4"/>
    <x v="0"/>
    <x v="0"/>
    <x v="1"/>
    <x v="6"/>
    <n v="1700"/>
    <n v="24058400"/>
  </r>
  <r>
    <x v="5"/>
    <x v="2"/>
    <x v="0"/>
    <x v="1"/>
    <x v="9"/>
    <n v="210"/>
    <n v="22472100"/>
  </r>
  <r>
    <x v="6"/>
    <x v="1"/>
    <x v="0"/>
    <x v="1"/>
    <x v="2"/>
    <n v="1994"/>
    <n v="61772126"/>
  </r>
  <r>
    <x v="7"/>
    <x v="1"/>
    <x v="0"/>
    <x v="1"/>
    <x v="4"/>
    <n v="114"/>
    <n v="3001050"/>
  </r>
  <r>
    <x v="0"/>
    <x v="1"/>
    <x v="0"/>
    <x v="2"/>
    <x v="6"/>
    <n v="228"/>
    <n v="7709364"/>
  </r>
  <r>
    <x v="1"/>
    <x v="0"/>
    <x v="0"/>
    <x v="2"/>
    <x v="7"/>
    <n v="1150"/>
    <n v="12063500"/>
  </r>
  <r>
    <x v="2"/>
    <x v="2"/>
    <x v="0"/>
    <x v="2"/>
    <x v="4"/>
    <n v="1493"/>
    <n v="73613858"/>
  </r>
  <r>
    <x v="3"/>
    <x v="0"/>
    <x v="0"/>
    <x v="2"/>
    <x v="2"/>
    <n v="1981"/>
    <n v="20103188"/>
  </r>
  <r>
    <x v="4"/>
    <x v="1"/>
    <x v="0"/>
    <x v="2"/>
    <x v="0"/>
    <n v="139"/>
    <n v="2450431"/>
  </r>
  <r>
    <x v="5"/>
    <x v="2"/>
    <x v="0"/>
    <x v="2"/>
    <x v="0"/>
    <n v="217"/>
    <n v="23566851"/>
  </r>
  <r>
    <x v="6"/>
    <x v="0"/>
    <x v="0"/>
    <x v="2"/>
    <x v="4"/>
    <n v="1304"/>
    <n v="18729352"/>
  </r>
  <r>
    <x v="7"/>
    <x v="1"/>
    <x v="0"/>
    <x v="2"/>
    <x v="0"/>
    <n v="1150"/>
    <n v="43425150"/>
  </r>
  <r>
    <x v="0"/>
    <x v="1"/>
    <x v="0"/>
    <x v="3"/>
    <x v="3"/>
    <n v="1491"/>
    <n v="33906831"/>
  </r>
  <r>
    <x v="1"/>
    <x v="2"/>
    <x v="0"/>
    <x v="3"/>
    <x v="8"/>
    <n v="1987"/>
    <n v="170391211"/>
  </r>
  <r>
    <x v="2"/>
    <x v="2"/>
    <x v="0"/>
    <x v="3"/>
    <x v="4"/>
    <n v="1714"/>
    <n v="119277260"/>
  </r>
  <r>
    <x v="3"/>
    <x v="2"/>
    <x v="0"/>
    <x v="3"/>
    <x v="0"/>
    <n v="456"/>
    <n v="33237840"/>
  </r>
  <r>
    <x v="4"/>
    <x v="2"/>
    <x v="0"/>
    <x v="3"/>
    <x v="4"/>
    <n v="1698"/>
    <n v="87032688"/>
  </r>
  <r>
    <x v="5"/>
    <x v="2"/>
    <x v="0"/>
    <x v="3"/>
    <x v="3"/>
    <n v="766"/>
    <n v="63872144"/>
  </r>
  <r>
    <x v="6"/>
    <x v="0"/>
    <x v="0"/>
    <x v="3"/>
    <x v="6"/>
    <n v="695"/>
    <n v="9942670"/>
  </r>
  <r>
    <x v="7"/>
    <x v="0"/>
    <x v="0"/>
    <x v="3"/>
    <x v="0"/>
    <n v="1910"/>
    <n v="26103970"/>
  </r>
  <r>
    <x v="0"/>
    <x v="1"/>
    <x v="0"/>
    <x v="4"/>
    <x v="7"/>
    <n v="312"/>
    <n v="4941768"/>
  </r>
  <r>
    <x v="1"/>
    <x v="0"/>
    <x v="0"/>
    <x v="4"/>
    <x v="1"/>
    <n v="938"/>
    <n v="8255338"/>
  </r>
  <r>
    <x v="2"/>
    <x v="2"/>
    <x v="0"/>
    <x v="4"/>
    <x v="7"/>
    <n v="1349"/>
    <n v="124661090"/>
  </r>
  <r>
    <x v="3"/>
    <x v="1"/>
    <x v="0"/>
    <x v="4"/>
    <x v="6"/>
    <n v="354"/>
    <n v="6921054"/>
  </r>
  <r>
    <x v="4"/>
    <x v="2"/>
    <x v="0"/>
    <x v="4"/>
    <x v="9"/>
    <n v="706"/>
    <n v="34831922"/>
  </r>
  <r>
    <x v="5"/>
    <x v="1"/>
    <x v="0"/>
    <x v="4"/>
    <x v="8"/>
    <n v="680"/>
    <n v="19346000"/>
  </r>
  <r>
    <x v="6"/>
    <x v="1"/>
    <x v="0"/>
    <x v="4"/>
    <x v="8"/>
    <n v="415"/>
    <n v="15588645"/>
  </r>
  <r>
    <x v="7"/>
    <x v="2"/>
    <x v="0"/>
    <x v="4"/>
    <x v="7"/>
    <n v="726"/>
    <n v="31884468"/>
  </r>
  <r>
    <x v="0"/>
    <x v="2"/>
    <x v="0"/>
    <x v="5"/>
    <x v="6"/>
    <n v="1544"/>
    <n v="123994008"/>
  </r>
  <r>
    <x v="1"/>
    <x v="0"/>
    <x v="0"/>
    <x v="5"/>
    <x v="6"/>
    <n v="1864"/>
    <n v="26938528"/>
  </r>
  <r>
    <x v="2"/>
    <x v="1"/>
    <x v="0"/>
    <x v="5"/>
    <x v="6"/>
    <n v="1367"/>
    <n v="46685784"/>
  </r>
  <r>
    <x v="3"/>
    <x v="1"/>
    <x v="0"/>
    <x v="5"/>
    <x v="5"/>
    <n v="466"/>
    <n v="15615194"/>
  </r>
  <r>
    <x v="4"/>
    <x v="2"/>
    <x v="0"/>
    <x v="5"/>
    <x v="5"/>
    <n v="1221"/>
    <n v="146060904"/>
  </r>
  <r>
    <x v="5"/>
    <x v="1"/>
    <x v="0"/>
    <x v="5"/>
    <x v="5"/>
    <n v="356"/>
    <n v="7662900"/>
  </r>
  <r>
    <x v="6"/>
    <x v="1"/>
    <x v="0"/>
    <x v="5"/>
    <x v="3"/>
    <n v="1515"/>
    <n v="22911345"/>
  </r>
  <r>
    <x v="7"/>
    <x v="1"/>
    <x v="0"/>
    <x v="5"/>
    <x v="9"/>
    <n v="1788"/>
    <n v="48563868"/>
  </r>
  <r>
    <x v="0"/>
    <x v="0"/>
    <x v="0"/>
    <x v="6"/>
    <x v="7"/>
    <n v="726"/>
    <n v="9416946"/>
  </r>
  <r>
    <x v="1"/>
    <x v="1"/>
    <x v="0"/>
    <x v="6"/>
    <x v="3"/>
    <n v="1493"/>
    <n v="45839579"/>
  </r>
  <r>
    <x v="2"/>
    <x v="2"/>
    <x v="0"/>
    <x v="6"/>
    <x v="2"/>
    <n v="385"/>
    <n v="38407600"/>
  </r>
  <r>
    <x v="3"/>
    <x v="1"/>
    <x v="0"/>
    <x v="6"/>
    <x v="3"/>
    <n v="785"/>
    <n v="31194330"/>
  </r>
  <r>
    <x v="4"/>
    <x v="1"/>
    <x v="0"/>
    <x v="6"/>
    <x v="6"/>
    <n v="1255"/>
    <n v="29414690"/>
  </r>
  <r>
    <x v="5"/>
    <x v="0"/>
    <x v="0"/>
    <x v="6"/>
    <x v="8"/>
    <n v="1280"/>
    <n v="17612800"/>
  </r>
  <r>
    <x v="6"/>
    <x v="1"/>
    <x v="0"/>
    <x v="6"/>
    <x v="4"/>
    <n v="1475"/>
    <n v="35218575"/>
  </r>
  <r>
    <x v="7"/>
    <x v="0"/>
    <x v="0"/>
    <x v="6"/>
    <x v="9"/>
    <n v="574"/>
    <n v="4486958"/>
  </r>
  <r>
    <x v="0"/>
    <x v="2"/>
    <x v="0"/>
    <x v="7"/>
    <x v="3"/>
    <n v="1255"/>
    <n v="58553280"/>
  </r>
  <r>
    <x v="1"/>
    <x v="1"/>
    <x v="0"/>
    <x v="7"/>
    <x v="8"/>
    <n v="904"/>
    <n v="30829112"/>
  </r>
  <r>
    <x v="2"/>
    <x v="2"/>
    <x v="0"/>
    <x v="7"/>
    <x v="0"/>
    <n v="1536"/>
    <n v="175934976"/>
  </r>
  <r>
    <x v="3"/>
    <x v="1"/>
    <x v="0"/>
    <x v="7"/>
    <x v="0"/>
    <n v="691"/>
    <n v="18212687"/>
  </r>
  <r>
    <x v="4"/>
    <x v="2"/>
    <x v="0"/>
    <x v="7"/>
    <x v="3"/>
    <n v="1280"/>
    <n v="70278400"/>
  </r>
  <r>
    <x v="5"/>
    <x v="1"/>
    <x v="0"/>
    <x v="7"/>
    <x v="9"/>
    <n v="704"/>
    <n v="26932224"/>
  </r>
  <r>
    <x v="6"/>
    <x v="0"/>
    <x v="0"/>
    <x v="7"/>
    <x v="6"/>
    <n v="1141"/>
    <n v="12064934"/>
  </r>
  <r>
    <x v="7"/>
    <x v="2"/>
    <x v="0"/>
    <x v="7"/>
    <x v="8"/>
    <n v="881"/>
    <n v="46871843"/>
  </r>
  <r>
    <x v="0"/>
    <x v="0"/>
    <x v="1"/>
    <x v="0"/>
    <x v="4"/>
    <n v="199"/>
    <n v="2215268"/>
  </r>
  <r>
    <x v="1"/>
    <x v="0"/>
    <x v="1"/>
    <x v="0"/>
    <x v="3"/>
    <n v="469"/>
    <n v="5057696"/>
  </r>
  <r>
    <x v="2"/>
    <x v="1"/>
    <x v="1"/>
    <x v="0"/>
    <x v="7"/>
    <n v="680"/>
    <n v="10697080"/>
  </r>
  <r>
    <x v="3"/>
    <x v="0"/>
    <x v="1"/>
    <x v="0"/>
    <x v="6"/>
    <n v="930"/>
    <n v="11215800"/>
  </r>
  <r>
    <x v="4"/>
    <x v="0"/>
    <x v="1"/>
    <x v="0"/>
    <x v="2"/>
    <n v="1219"/>
    <n v="11874279"/>
  </r>
  <r>
    <x v="5"/>
    <x v="1"/>
    <x v="1"/>
    <x v="0"/>
    <x v="3"/>
    <n v="1420"/>
    <n v="53555300"/>
  </r>
  <r>
    <x v="6"/>
    <x v="2"/>
    <x v="1"/>
    <x v="0"/>
    <x v="4"/>
    <n v="300"/>
    <n v="23411700"/>
  </r>
  <r>
    <x v="7"/>
    <x v="1"/>
    <x v="1"/>
    <x v="0"/>
    <x v="1"/>
    <n v="1500"/>
    <n v="42850500"/>
  </r>
  <r>
    <x v="0"/>
    <x v="0"/>
    <x v="1"/>
    <x v="1"/>
    <x v="4"/>
    <n v="310"/>
    <n v="3467970"/>
  </r>
  <r>
    <x v="1"/>
    <x v="0"/>
    <x v="1"/>
    <x v="1"/>
    <x v="2"/>
    <n v="1544"/>
    <n v="16704536"/>
  </r>
  <r>
    <x v="2"/>
    <x v="1"/>
    <x v="1"/>
    <x v="1"/>
    <x v="3"/>
    <n v="1049"/>
    <n v="21928296"/>
  </r>
  <r>
    <x v="3"/>
    <x v="2"/>
    <x v="1"/>
    <x v="1"/>
    <x v="1"/>
    <n v="1042"/>
    <n v="77882206"/>
  </r>
  <r>
    <x v="4"/>
    <x v="2"/>
    <x v="1"/>
    <x v="1"/>
    <x v="9"/>
    <n v="1899"/>
    <n v="174766869"/>
  </r>
  <r>
    <x v="5"/>
    <x v="0"/>
    <x v="1"/>
    <x v="1"/>
    <x v="1"/>
    <n v="1765"/>
    <n v="20761695"/>
  </r>
  <r>
    <x v="6"/>
    <x v="2"/>
    <x v="1"/>
    <x v="1"/>
    <x v="1"/>
    <n v="1019"/>
    <n v="42022541"/>
  </r>
  <r>
    <x v="7"/>
    <x v="0"/>
    <x v="1"/>
    <x v="1"/>
    <x v="1"/>
    <n v="1795"/>
    <n v="15173135"/>
  </r>
  <r>
    <x v="0"/>
    <x v="2"/>
    <x v="1"/>
    <x v="2"/>
    <x v="3"/>
    <n v="1238"/>
    <n v="49621516"/>
  </r>
  <r>
    <x v="1"/>
    <x v="0"/>
    <x v="1"/>
    <x v="2"/>
    <x v="7"/>
    <n v="934"/>
    <n v="9313848"/>
  </r>
  <r>
    <x v="2"/>
    <x v="1"/>
    <x v="1"/>
    <x v="2"/>
    <x v="6"/>
    <n v="222"/>
    <n v="6442218"/>
  </r>
  <r>
    <x v="3"/>
    <x v="1"/>
    <x v="1"/>
    <x v="2"/>
    <x v="7"/>
    <n v="443"/>
    <n v="16651927"/>
  </r>
  <r>
    <x v="4"/>
    <x v="1"/>
    <x v="1"/>
    <x v="2"/>
    <x v="9"/>
    <n v="526"/>
    <n v="9354384"/>
  </r>
  <r>
    <x v="5"/>
    <x v="0"/>
    <x v="1"/>
    <x v="2"/>
    <x v="8"/>
    <n v="919"/>
    <n v="8054116"/>
  </r>
  <r>
    <x v="6"/>
    <x v="2"/>
    <x v="1"/>
    <x v="2"/>
    <x v="3"/>
    <n v="614"/>
    <n v="48439074"/>
  </r>
  <r>
    <x v="7"/>
    <x v="1"/>
    <x v="1"/>
    <x v="2"/>
    <x v="8"/>
    <n v="613"/>
    <n v="16256760"/>
  </r>
  <r>
    <x v="0"/>
    <x v="2"/>
    <x v="1"/>
    <x v="3"/>
    <x v="9"/>
    <n v="341"/>
    <n v="31373364"/>
  </r>
  <r>
    <x v="1"/>
    <x v="1"/>
    <x v="1"/>
    <x v="3"/>
    <x v="9"/>
    <n v="1659"/>
    <n v="51452226"/>
  </r>
  <r>
    <x v="2"/>
    <x v="0"/>
    <x v="1"/>
    <x v="3"/>
    <x v="5"/>
    <n v="225"/>
    <n v="2556675"/>
  </r>
  <r>
    <x v="3"/>
    <x v="0"/>
    <x v="1"/>
    <x v="3"/>
    <x v="8"/>
    <n v="482"/>
    <n v="6105494"/>
  </r>
  <r>
    <x v="4"/>
    <x v="2"/>
    <x v="1"/>
    <x v="3"/>
    <x v="8"/>
    <n v="1562"/>
    <n v="139074232"/>
  </r>
  <r>
    <x v="5"/>
    <x v="0"/>
    <x v="1"/>
    <x v="3"/>
    <x v="7"/>
    <n v="1349"/>
    <n v="19325774"/>
  </r>
  <r>
    <x v="6"/>
    <x v="2"/>
    <x v="1"/>
    <x v="3"/>
    <x v="3"/>
    <n v="167"/>
    <n v="18929450"/>
  </r>
  <r>
    <x v="7"/>
    <x v="0"/>
    <x v="1"/>
    <x v="3"/>
    <x v="0"/>
    <n v="1975"/>
    <n v="27106875"/>
  </r>
  <r>
    <x v="0"/>
    <x v="0"/>
    <x v="1"/>
    <x v="4"/>
    <x v="3"/>
    <n v="1364"/>
    <n v="9853536"/>
  </r>
  <r>
    <x v="1"/>
    <x v="1"/>
    <x v="1"/>
    <x v="4"/>
    <x v="1"/>
    <n v="581"/>
    <n v="14947968"/>
  </r>
  <r>
    <x v="2"/>
    <x v="2"/>
    <x v="1"/>
    <x v="4"/>
    <x v="1"/>
    <n v="1944"/>
    <n v="198441576"/>
  </r>
  <r>
    <x v="3"/>
    <x v="0"/>
    <x v="1"/>
    <x v="4"/>
    <x v="1"/>
    <n v="322"/>
    <n v="3262182"/>
  </r>
  <r>
    <x v="4"/>
    <x v="2"/>
    <x v="1"/>
    <x v="4"/>
    <x v="2"/>
    <n v="526"/>
    <n v="41181592"/>
  </r>
  <r>
    <x v="5"/>
    <x v="1"/>
    <x v="1"/>
    <x v="4"/>
    <x v="2"/>
    <n v="1261"/>
    <n v="20222657"/>
  </r>
  <r>
    <x v="6"/>
    <x v="2"/>
    <x v="1"/>
    <x v="4"/>
    <x v="8"/>
    <n v="785"/>
    <n v="56490955"/>
  </r>
  <r>
    <x v="7"/>
    <x v="2"/>
    <x v="1"/>
    <x v="4"/>
    <x v="6"/>
    <n v="1846"/>
    <n v="203899930"/>
  </r>
  <r>
    <x v="0"/>
    <x v="1"/>
    <x v="1"/>
    <x v="5"/>
    <x v="8"/>
    <n v="1741"/>
    <n v="31687941"/>
  </r>
  <r>
    <x v="1"/>
    <x v="1"/>
    <x v="1"/>
    <x v="5"/>
    <x v="8"/>
    <n v="1026"/>
    <n v="22460166"/>
  </r>
  <r>
    <x v="2"/>
    <x v="1"/>
    <x v="1"/>
    <x v="5"/>
    <x v="2"/>
    <n v="223"/>
    <n v="8570559"/>
  </r>
  <r>
    <x v="3"/>
    <x v="2"/>
    <x v="1"/>
    <x v="5"/>
    <x v="6"/>
    <n v="756"/>
    <n v="85969296"/>
  </r>
  <r>
    <x v="4"/>
    <x v="2"/>
    <x v="1"/>
    <x v="5"/>
    <x v="7"/>
    <n v="1686"/>
    <n v="180919602"/>
  </r>
  <r>
    <x v="5"/>
    <x v="1"/>
    <x v="1"/>
    <x v="5"/>
    <x v="4"/>
    <n v="794"/>
    <n v="12575372"/>
  </r>
  <r>
    <x v="6"/>
    <x v="1"/>
    <x v="1"/>
    <x v="5"/>
    <x v="2"/>
    <n v="883"/>
    <n v="13863100"/>
  </r>
  <r>
    <x v="7"/>
    <x v="2"/>
    <x v="1"/>
    <x v="5"/>
    <x v="9"/>
    <n v="79"/>
    <n v="8275882"/>
  </r>
  <r>
    <x v="0"/>
    <x v="2"/>
    <x v="1"/>
    <x v="6"/>
    <x v="5"/>
    <n v="1628"/>
    <n v="116338508"/>
  </r>
  <r>
    <x v="1"/>
    <x v="1"/>
    <x v="1"/>
    <x v="6"/>
    <x v="2"/>
    <n v="298"/>
    <n v="8813350"/>
  </r>
  <r>
    <x v="2"/>
    <x v="0"/>
    <x v="1"/>
    <x v="6"/>
    <x v="2"/>
    <n v="1196"/>
    <n v="11586848"/>
  </r>
  <r>
    <x v="3"/>
    <x v="0"/>
    <x v="1"/>
    <x v="6"/>
    <x v="2"/>
    <n v="555"/>
    <n v="5547225"/>
  </r>
  <r>
    <x v="4"/>
    <x v="0"/>
    <x v="1"/>
    <x v="6"/>
    <x v="7"/>
    <n v="688"/>
    <n v="6996960"/>
  </r>
  <r>
    <x v="5"/>
    <x v="1"/>
    <x v="1"/>
    <x v="6"/>
    <x v="8"/>
    <n v="175"/>
    <n v="5473650"/>
  </r>
  <r>
    <x v="6"/>
    <x v="2"/>
    <x v="1"/>
    <x v="6"/>
    <x v="0"/>
    <n v="268"/>
    <n v="28406392"/>
  </r>
  <r>
    <x v="7"/>
    <x v="2"/>
    <x v="1"/>
    <x v="6"/>
    <x v="2"/>
    <n v="699"/>
    <n v="44980650"/>
  </r>
  <r>
    <x v="0"/>
    <x v="2"/>
    <x v="1"/>
    <x v="7"/>
    <x v="2"/>
    <n v="881"/>
    <n v="42325883"/>
  </r>
  <r>
    <x v="1"/>
    <x v="1"/>
    <x v="1"/>
    <x v="7"/>
    <x v="2"/>
    <n v="562"/>
    <n v="17151116"/>
  </r>
  <r>
    <x v="2"/>
    <x v="0"/>
    <x v="1"/>
    <x v="7"/>
    <x v="3"/>
    <n v="1194"/>
    <n v="10657644"/>
  </r>
  <r>
    <x v="3"/>
    <x v="1"/>
    <x v="1"/>
    <x v="7"/>
    <x v="1"/>
    <n v="737"/>
    <n v="29437254"/>
  </r>
  <r>
    <x v="4"/>
    <x v="0"/>
    <x v="1"/>
    <x v="7"/>
    <x v="0"/>
    <n v="291"/>
    <n v="2092290"/>
  </r>
  <r>
    <x v="5"/>
    <x v="2"/>
    <x v="1"/>
    <x v="7"/>
    <x v="2"/>
    <n v="1093"/>
    <n v="96563271"/>
  </r>
  <r>
    <x v="6"/>
    <x v="2"/>
    <x v="1"/>
    <x v="7"/>
    <x v="9"/>
    <n v="1559"/>
    <n v="113464020"/>
  </r>
  <r>
    <x v="7"/>
    <x v="1"/>
    <x v="1"/>
    <x v="7"/>
    <x v="3"/>
    <n v="1525"/>
    <n v="25578825"/>
  </r>
  <r>
    <x v="0"/>
    <x v="1"/>
    <x v="2"/>
    <x v="0"/>
    <x v="6"/>
    <n v="1479"/>
    <n v="46357776"/>
  </r>
  <r>
    <x v="1"/>
    <x v="2"/>
    <x v="2"/>
    <x v="0"/>
    <x v="6"/>
    <n v="1941"/>
    <n v="140794317"/>
  </r>
  <r>
    <x v="2"/>
    <x v="2"/>
    <x v="2"/>
    <x v="0"/>
    <x v="0"/>
    <n v="1228"/>
    <n v="138433668"/>
  </r>
  <r>
    <x v="3"/>
    <x v="0"/>
    <x v="2"/>
    <x v="0"/>
    <x v="3"/>
    <n v="665"/>
    <n v="6160560"/>
  </r>
  <r>
    <x v="4"/>
    <x v="2"/>
    <x v="2"/>
    <x v="0"/>
    <x v="7"/>
    <n v="723"/>
    <n v="62642889"/>
  </r>
  <r>
    <x v="5"/>
    <x v="1"/>
    <x v="2"/>
    <x v="0"/>
    <x v="7"/>
    <n v="1869"/>
    <n v="59585589"/>
  </r>
  <r>
    <x v="6"/>
    <x v="0"/>
    <x v="2"/>
    <x v="0"/>
    <x v="5"/>
    <n v="1532"/>
    <n v="18365616"/>
  </r>
  <r>
    <x v="7"/>
    <x v="2"/>
    <x v="2"/>
    <x v="0"/>
    <x v="5"/>
    <n v="746"/>
    <n v="35867680"/>
  </r>
  <r>
    <x v="0"/>
    <x v="0"/>
    <x v="2"/>
    <x v="1"/>
    <x v="4"/>
    <n v="502"/>
    <n v="5786052"/>
  </r>
  <r>
    <x v="1"/>
    <x v="1"/>
    <x v="2"/>
    <x v="1"/>
    <x v="7"/>
    <n v="881"/>
    <n v="24347316"/>
  </r>
  <r>
    <x v="2"/>
    <x v="2"/>
    <x v="2"/>
    <x v="1"/>
    <x v="4"/>
    <n v="871"/>
    <n v="98630298"/>
  </r>
  <r>
    <x v="3"/>
    <x v="2"/>
    <x v="2"/>
    <x v="1"/>
    <x v="8"/>
    <n v="1686"/>
    <n v="132276816"/>
  </r>
  <r>
    <x v="4"/>
    <x v="0"/>
    <x v="2"/>
    <x v="1"/>
    <x v="6"/>
    <n v="1033"/>
    <n v="14511584"/>
  </r>
  <r>
    <x v="5"/>
    <x v="0"/>
    <x v="2"/>
    <x v="1"/>
    <x v="1"/>
    <n v="506"/>
    <n v="6710066"/>
  </r>
  <r>
    <x v="6"/>
    <x v="1"/>
    <x v="2"/>
    <x v="1"/>
    <x v="3"/>
    <n v="952"/>
    <n v="34209168"/>
  </r>
  <r>
    <x v="7"/>
    <x v="0"/>
    <x v="2"/>
    <x v="1"/>
    <x v="7"/>
    <n v="719"/>
    <n v="6186995"/>
  </r>
  <r>
    <x v="0"/>
    <x v="1"/>
    <x v="2"/>
    <x v="2"/>
    <x v="8"/>
    <n v="569"/>
    <n v="19827374"/>
  </r>
  <r>
    <x v="1"/>
    <x v="2"/>
    <x v="2"/>
    <x v="2"/>
    <x v="4"/>
    <n v="1585"/>
    <n v="72894150"/>
  </r>
  <r>
    <x v="2"/>
    <x v="2"/>
    <x v="2"/>
    <x v="2"/>
    <x v="5"/>
    <n v="1694"/>
    <n v="154289520"/>
  </r>
  <r>
    <x v="3"/>
    <x v="0"/>
    <x v="2"/>
    <x v="2"/>
    <x v="7"/>
    <n v="91"/>
    <n v="1253343"/>
  </r>
  <r>
    <x v="4"/>
    <x v="2"/>
    <x v="2"/>
    <x v="2"/>
    <x v="9"/>
    <n v="145"/>
    <n v="10404185"/>
  </r>
  <r>
    <x v="5"/>
    <x v="2"/>
    <x v="2"/>
    <x v="2"/>
    <x v="1"/>
    <n v="547"/>
    <n v="45828207"/>
  </r>
  <r>
    <x v="6"/>
    <x v="1"/>
    <x v="2"/>
    <x v="2"/>
    <x v="1"/>
    <n v="1019"/>
    <n v="37357559"/>
  </r>
  <r>
    <x v="7"/>
    <x v="1"/>
    <x v="2"/>
    <x v="2"/>
    <x v="4"/>
    <n v="1470"/>
    <n v="56302470"/>
  </r>
  <r>
    <x v="0"/>
    <x v="2"/>
    <x v="2"/>
    <x v="3"/>
    <x v="3"/>
    <n v="1390"/>
    <n v="73133460"/>
  </r>
  <r>
    <x v="1"/>
    <x v="1"/>
    <x v="2"/>
    <x v="3"/>
    <x v="9"/>
    <n v="1315"/>
    <n v="30243685"/>
  </r>
  <r>
    <x v="2"/>
    <x v="1"/>
    <x v="2"/>
    <x v="3"/>
    <x v="5"/>
    <n v="337"/>
    <n v="5323589"/>
  </r>
  <r>
    <x v="3"/>
    <x v="2"/>
    <x v="2"/>
    <x v="3"/>
    <x v="4"/>
    <n v="237"/>
    <n v="19541598"/>
  </r>
  <r>
    <x v="4"/>
    <x v="2"/>
    <x v="2"/>
    <x v="3"/>
    <x v="2"/>
    <n v="1589"/>
    <n v="107777103"/>
  </r>
  <r>
    <x v="5"/>
    <x v="0"/>
    <x v="2"/>
    <x v="3"/>
    <x v="9"/>
    <n v="1547"/>
    <n v="19694857"/>
  </r>
  <r>
    <x v="6"/>
    <x v="2"/>
    <x v="2"/>
    <x v="3"/>
    <x v="5"/>
    <n v="332"/>
    <n v="24090916"/>
  </r>
  <r>
    <x v="7"/>
    <x v="1"/>
    <x v="2"/>
    <x v="3"/>
    <x v="7"/>
    <n v="1066"/>
    <n v="41531360"/>
  </r>
  <r>
    <x v="0"/>
    <x v="0"/>
    <x v="2"/>
    <x v="4"/>
    <x v="1"/>
    <n v="1085"/>
    <n v="13691615"/>
  </r>
  <r>
    <x v="1"/>
    <x v="0"/>
    <x v="2"/>
    <x v="4"/>
    <x v="5"/>
    <n v="1603"/>
    <n v="23589748"/>
  </r>
  <r>
    <x v="2"/>
    <x v="0"/>
    <x v="2"/>
    <x v="4"/>
    <x v="2"/>
    <n v="585"/>
    <n v="4672980"/>
  </r>
  <r>
    <x v="3"/>
    <x v="2"/>
    <x v="2"/>
    <x v="4"/>
    <x v="0"/>
    <n v="813"/>
    <n v="76756956"/>
  </r>
  <r>
    <x v="4"/>
    <x v="1"/>
    <x v="2"/>
    <x v="4"/>
    <x v="7"/>
    <n v="868"/>
    <n v="34579384"/>
  </r>
  <r>
    <x v="5"/>
    <x v="1"/>
    <x v="2"/>
    <x v="4"/>
    <x v="8"/>
    <n v="455"/>
    <n v="7801430"/>
  </r>
  <r>
    <x v="6"/>
    <x v="0"/>
    <x v="2"/>
    <x v="4"/>
    <x v="7"/>
    <n v="1137"/>
    <n v="15597366"/>
  </r>
  <r>
    <x v="7"/>
    <x v="0"/>
    <x v="2"/>
    <x v="4"/>
    <x v="4"/>
    <n v="740"/>
    <n v="8532940"/>
  </r>
  <r>
    <x v="0"/>
    <x v="2"/>
    <x v="2"/>
    <x v="5"/>
    <x v="4"/>
    <n v="911"/>
    <n v="43275233"/>
  </r>
  <r>
    <x v="1"/>
    <x v="1"/>
    <x v="2"/>
    <x v="5"/>
    <x v="7"/>
    <n v="1722"/>
    <n v="38397156"/>
  </r>
  <r>
    <x v="2"/>
    <x v="0"/>
    <x v="2"/>
    <x v="5"/>
    <x v="1"/>
    <n v="573"/>
    <n v="4816065"/>
  </r>
  <r>
    <x v="3"/>
    <x v="1"/>
    <x v="2"/>
    <x v="5"/>
    <x v="0"/>
    <n v="1423"/>
    <n v="40463005"/>
  </r>
  <r>
    <x v="4"/>
    <x v="1"/>
    <x v="2"/>
    <x v="5"/>
    <x v="2"/>
    <n v="1656"/>
    <n v="60834816"/>
  </r>
  <r>
    <x v="5"/>
    <x v="2"/>
    <x v="2"/>
    <x v="5"/>
    <x v="0"/>
    <n v="714"/>
    <n v="40648734"/>
  </r>
  <r>
    <x v="6"/>
    <x v="1"/>
    <x v="2"/>
    <x v="5"/>
    <x v="0"/>
    <n v="1998"/>
    <n v="76523400"/>
  </r>
  <r>
    <x v="7"/>
    <x v="1"/>
    <x v="2"/>
    <x v="5"/>
    <x v="1"/>
    <n v="1509"/>
    <n v="28194156"/>
  </r>
  <r>
    <x v="0"/>
    <x v="0"/>
    <x v="2"/>
    <x v="6"/>
    <x v="5"/>
    <n v="1355"/>
    <n v="13704470"/>
  </r>
  <r>
    <x v="1"/>
    <x v="0"/>
    <x v="2"/>
    <x v="6"/>
    <x v="7"/>
    <n v="556"/>
    <n v="4491924"/>
  </r>
  <r>
    <x v="2"/>
    <x v="1"/>
    <x v="2"/>
    <x v="6"/>
    <x v="7"/>
    <n v="531"/>
    <n v="13681215"/>
  </r>
  <r>
    <x v="3"/>
    <x v="2"/>
    <x v="2"/>
    <x v="6"/>
    <x v="3"/>
    <n v="691"/>
    <n v="82817041"/>
  </r>
  <r>
    <x v="4"/>
    <x v="1"/>
    <x v="2"/>
    <x v="6"/>
    <x v="1"/>
    <n v="1447"/>
    <n v="38527822"/>
  </r>
  <r>
    <x v="5"/>
    <x v="2"/>
    <x v="2"/>
    <x v="6"/>
    <x v="6"/>
    <n v="969"/>
    <n v="47382162"/>
  </r>
  <r>
    <x v="6"/>
    <x v="1"/>
    <x v="2"/>
    <x v="6"/>
    <x v="2"/>
    <n v="777"/>
    <n v="26432763"/>
  </r>
  <r>
    <x v="7"/>
    <x v="0"/>
    <x v="2"/>
    <x v="6"/>
    <x v="8"/>
    <n v="1802"/>
    <n v="22207848"/>
  </r>
  <r>
    <x v="0"/>
    <x v="1"/>
    <x v="2"/>
    <x v="7"/>
    <x v="2"/>
    <n v="1124"/>
    <n v="23369084"/>
  </r>
  <r>
    <x v="1"/>
    <x v="2"/>
    <x v="2"/>
    <x v="7"/>
    <x v="0"/>
    <n v="1626"/>
    <n v="150663534"/>
  </r>
  <r>
    <x v="2"/>
    <x v="1"/>
    <x v="2"/>
    <x v="7"/>
    <x v="0"/>
    <n v="1154"/>
    <n v="30424056"/>
  </r>
  <r>
    <x v="3"/>
    <x v="2"/>
    <x v="2"/>
    <x v="7"/>
    <x v="2"/>
    <n v="1237"/>
    <n v="70410040"/>
  </r>
  <r>
    <x v="4"/>
    <x v="1"/>
    <x v="2"/>
    <x v="7"/>
    <x v="2"/>
    <n v="1370"/>
    <n v="31922370"/>
  </r>
  <r>
    <x v="5"/>
    <x v="2"/>
    <x v="2"/>
    <x v="7"/>
    <x v="4"/>
    <n v="1996"/>
    <n v="95191236"/>
  </r>
  <r>
    <x v="6"/>
    <x v="0"/>
    <x v="2"/>
    <x v="7"/>
    <x v="2"/>
    <n v="1308"/>
    <n v="10941420"/>
  </r>
  <r>
    <x v="7"/>
    <x v="2"/>
    <x v="2"/>
    <x v="7"/>
    <x v="5"/>
    <n v="736"/>
    <n v="38977824"/>
  </r>
  <r>
    <x v="0"/>
    <x v="0"/>
    <x v="3"/>
    <x v="0"/>
    <x v="5"/>
    <n v="1949"/>
    <n v="14317354"/>
  </r>
  <r>
    <x v="1"/>
    <x v="2"/>
    <x v="3"/>
    <x v="0"/>
    <x v="1"/>
    <n v="1529"/>
    <n v="102892526"/>
  </r>
  <r>
    <x v="2"/>
    <x v="1"/>
    <x v="3"/>
    <x v="0"/>
    <x v="0"/>
    <n v="1682"/>
    <n v="26999464"/>
  </r>
  <r>
    <x v="3"/>
    <x v="0"/>
    <x v="3"/>
    <x v="0"/>
    <x v="1"/>
    <n v="1490"/>
    <n v="21862770"/>
  </r>
  <r>
    <x v="4"/>
    <x v="2"/>
    <x v="3"/>
    <x v="0"/>
    <x v="2"/>
    <n v="779"/>
    <n v="83293796"/>
  </r>
  <r>
    <x v="5"/>
    <x v="1"/>
    <x v="3"/>
    <x v="0"/>
    <x v="6"/>
    <n v="751"/>
    <n v="28288668"/>
  </r>
  <r>
    <x v="6"/>
    <x v="2"/>
    <x v="3"/>
    <x v="0"/>
    <x v="2"/>
    <n v="1785"/>
    <n v="151266255"/>
  </r>
  <r>
    <x v="7"/>
    <x v="0"/>
    <x v="3"/>
    <x v="0"/>
    <x v="2"/>
    <n v="1949"/>
    <n v="15163220"/>
  </r>
  <r>
    <x v="0"/>
    <x v="0"/>
    <x v="3"/>
    <x v="1"/>
    <x v="7"/>
    <n v="76"/>
    <n v="852264"/>
  </r>
  <r>
    <x v="1"/>
    <x v="1"/>
    <x v="3"/>
    <x v="1"/>
    <x v="5"/>
    <n v="1698"/>
    <n v="38142174"/>
  </r>
  <r>
    <x v="2"/>
    <x v="2"/>
    <x v="3"/>
    <x v="1"/>
    <x v="0"/>
    <n v="1890"/>
    <n v="144547200"/>
  </r>
  <r>
    <x v="3"/>
    <x v="0"/>
    <x v="3"/>
    <x v="1"/>
    <x v="1"/>
    <n v="413"/>
    <n v="3063221"/>
  </r>
  <r>
    <x v="4"/>
    <x v="0"/>
    <x v="3"/>
    <x v="1"/>
    <x v="7"/>
    <n v="1139"/>
    <n v="8291920"/>
  </r>
  <r>
    <x v="5"/>
    <x v="0"/>
    <x v="3"/>
    <x v="1"/>
    <x v="6"/>
    <n v="130"/>
    <n v="1362010"/>
  </r>
  <r>
    <x v="6"/>
    <x v="2"/>
    <x v="3"/>
    <x v="1"/>
    <x v="5"/>
    <n v="752"/>
    <n v="53494272"/>
  </r>
  <r>
    <x v="7"/>
    <x v="2"/>
    <x v="3"/>
    <x v="1"/>
    <x v="2"/>
    <n v="1621"/>
    <n v="131373945"/>
  </r>
  <r>
    <x v="0"/>
    <x v="2"/>
    <x v="3"/>
    <x v="2"/>
    <x v="8"/>
    <n v="1026"/>
    <n v="60942348"/>
  </r>
  <r>
    <x v="1"/>
    <x v="2"/>
    <x v="3"/>
    <x v="2"/>
    <x v="8"/>
    <n v="1683"/>
    <n v="114815943"/>
  </r>
  <r>
    <x v="2"/>
    <x v="1"/>
    <x v="3"/>
    <x v="2"/>
    <x v="0"/>
    <n v="1322"/>
    <n v="44236764"/>
  </r>
  <r>
    <x v="3"/>
    <x v="0"/>
    <x v="3"/>
    <x v="2"/>
    <x v="1"/>
    <n v="155"/>
    <n v="1708565"/>
  </r>
  <r>
    <x v="4"/>
    <x v="0"/>
    <x v="3"/>
    <x v="2"/>
    <x v="5"/>
    <n v="627"/>
    <n v="7197333"/>
  </r>
  <r>
    <x v="5"/>
    <x v="0"/>
    <x v="3"/>
    <x v="2"/>
    <x v="9"/>
    <n v="291"/>
    <n v="3278697"/>
  </r>
  <r>
    <x v="6"/>
    <x v="0"/>
    <x v="3"/>
    <x v="2"/>
    <x v="5"/>
    <n v="1667"/>
    <n v="24826631"/>
  </r>
  <r>
    <x v="7"/>
    <x v="0"/>
    <x v="3"/>
    <x v="2"/>
    <x v="2"/>
    <n v="1795"/>
    <n v="22581100"/>
  </r>
  <r>
    <x v="0"/>
    <x v="0"/>
    <x v="3"/>
    <x v="3"/>
    <x v="9"/>
    <n v="478"/>
    <n v="7129370"/>
  </r>
  <r>
    <x v="1"/>
    <x v="1"/>
    <x v="3"/>
    <x v="3"/>
    <x v="5"/>
    <n v="119"/>
    <n v="4666109"/>
  </r>
  <r>
    <x v="2"/>
    <x v="1"/>
    <x v="3"/>
    <x v="3"/>
    <x v="3"/>
    <n v="1075"/>
    <n v="20261600"/>
  </r>
  <r>
    <x v="3"/>
    <x v="2"/>
    <x v="3"/>
    <x v="3"/>
    <x v="2"/>
    <n v="1641"/>
    <n v="167421384"/>
  </r>
  <r>
    <x v="4"/>
    <x v="1"/>
    <x v="3"/>
    <x v="3"/>
    <x v="4"/>
    <n v="444"/>
    <n v="10045056"/>
  </r>
  <r>
    <x v="5"/>
    <x v="1"/>
    <x v="3"/>
    <x v="3"/>
    <x v="9"/>
    <n v="1137"/>
    <n v="19391535"/>
  </r>
  <r>
    <x v="6"/>
    <x v="2"/>
    <x v="3"/>
    <x v="3"/>
    <x v="4"/>
    <n v="1280"/>
    <n v="108390400"/>
  </r>
  <r>
    <x v="7"/>
    <x v="2"/>
    <x v="3"/>
    <x v="3"/>
    <x v="3"/>
    <n v="1709"/>
    <n v="97332677"/>
  </r>
  <r>
    <x v="0"/>
    <x v="2"/>
    <x v="3"/>
    <x v="4"/>
    <x v="7"/>
    <n v="2000"/>
    <n v="217894000"/>
  </r>
  <r>
    <x v="1"/>
    <x v="0"/>
    <x v="3"/>
    <x v="4"/>
    <x v="5"/>
    <n v="502"/>
    <n v="6692664"/>
  </r>
  <r>
    <x v="2"/>
    <x v="0"/>
    <x v="3"/>
    <x v="4"/>
    <x v="9"/>
    <n v="1269"/>
    <n v="10376613"/>
  </r>
  <r>
    <x v="3"/>
    <x v="0"/>
    <x v="3"/>
    <x v="4"/>
    <x v="3"/>
    <n v="292"/>
    <n v="2133936"/>
  </r>
  <r>
    <x v="4"/>
    <x v="1"/>
    <x v="3"/>
    <x v="4"/>
    <x v="2"/>
    <n v="745"/>
    <n v="21858300"/>
  </r>
  <r>
    <x v="5"/>
    <x v="2"/>
    <x v="3"/>
    <x v="4"/>
    <x v="8"/>
    <n v="1208"/>
    <n v="99609264"/>
  </r>
  <r>
    <x v="6"/>
    <x v="2"/>
    <x v="3"/>
    <x v="4"/>
    <x v="9"/>
    <n v="1633"/>
    <n v="155206852"/>
  </r>
  <r>
    <x v="7"/>
    <x v="2"/>
    <x v="3"/>
    <x v="4"/>
    <x v="3"/>
    <n v="620"/>
    <n v="35173220"/>
  </r>
  <r>
    <x v="0"/>
    <x v="2"/>
    <x v="3"/>
    <x v="5"/>
    <x v="9"/>
    <n v="992"/>
    <n v="72977472"/>
  </r>
  <r>
    <x v="1"/>
    <x v="1"/>
    <x v="3"/>
    <x v="5"/>
    <x v="5"/>
    <n v="989"/>
    <n v="21488003"/>
  </r>
  <r>
    <x v="2"/>
    <x v="0"/>
    <x v="3"/>
    <x v="5"/>
    <x v="7"/>
    <n v="1662"/>
    <n v="18140730"/>
  </r>
  <r>
    <x v="3"/>
    <x v="1"/>
    <x v="3"/>
    <x v="5"/>
    <x v="5"/>
    <n v="1416"/>
    <n v="34975200"/>
  </r>
  <r>
    <x v="4"/>
    <x v="1"/>
    <x v="3"/>
    <x v="5"/>
    <x v="9"/>
    <n v="658"/>
    <n v="25297468"/>
  </r>
  <r>
    <x v="5"/>
    <x v="0"/>
    <x v="3"/>
    <x v="5"/>
    <x v="4"/>
    <n v="1968"/>
    <n v="25263216"/>
  </r>
  <r>
    <x v="6"/>
    <x v="2"/>
    <x v="3"/>
    <x v="5"/>
    <x v="8"/>
    <n v="1128"/>
    <n v="117366144"/>
  </r>
  <r>
    <x v="7"/>
    <x v="2"/>
    <x v="3"/>
    <x v="5"/>
    <x v="2"/>
    <n v="853"/>
    <n v="35466034"/>
  </r>
  <r>
    <x v="0"/>
    <x v="0"/>
    <x v="3"/>
    <x v="6"/>
    <x v="5"/>
    <n v="1570"/>
    <n v="16268340"/>
  </r>
  <r>
    <x v="1"/>
    <x v="2"/>
    <x v="3"/>
    <x v="6"/>
    <x v="9"/>
    <n v="1223"/>
    <n v="136200618"/>
  </r>
  <r>
    <x v="2"/>
    <x v="0"/>
    <x v="3"/>
    <x v="6"/>
    <x v="3"/>
    <n v="1616"/>
    <n v="21803072"/>
  </r>
  <r>
    <x v="3"/>
    <x v="1"/>
    <x v="3"/>
    <x v="6"/>
    <x v="0"/>
    <n v="775"/>
    <n v="26095025"/>
  </r>
  <r>
    <x v="4"/>
    <x v="0"/>
    <x v="3"/>
    <x v="6"/>
    <x v="0"/>
    <n v="1818"/>
    <n v="18398160"/>
  </r>
  <r>
    <x v="5"/>
    <x v="0"/>
    <x v="3"/>
    <x v="6"/>
    <x v="3"/>
    <n v="1212"/>
    <n v="13235040"/>
  </r>
  <r>
    <x v="6"/>
    <x v="0"/>
    <x v="3"/>
    <x v="6"/>
    <x v="3"/>
    <n v="506"/>
    <n v="5143490"/>
  </r>
  <r>
    <x v="7"/>
    <x v="1"/>
    <x v="3"/>
    <x v="6"/>
    <x v="9"/>
    <n v="279"/>
    <n v="7903512"/>
  </r>
  <r>
    <x v="0"/>
    <x v="0"/>
    <x v="3"/>
    <x v="7"/>
    <x v="3"/>
    <n v="377"/>
    <n v="5186012"/>
  </r>
  <r>
    <x v="1"/>
    <x v="0"/>
    <x v="3"/>
    <x v="7"/>
    <x v="0"/>
    <n v="1480"/>
    <n v="17872480"/>
  </r>
  <r>
    <x v="2"/>
    <x v="2"/>
    <x v="3"/>
    <x v="7"/>
    <x v="9"/>
    <n v="1255"/>
    <n v="100437650"/>
  </r>
  <r>
    <x v="3"/>
    <x v="0"/>
    <x v="3"/>
    <x v="7"/>
    <x v="0"/>
    <n v="1243"/>
    <n v="12300728"/>
  </r>
  <r>
    <x v="4"/>
    <x v="0"/>
    <x v="3"/>
    <x v="7"/>
    <x v="9"/>
    <n v="1192"/>
    <n v="11842520"/>
  </r>
  <r>
    <x v="5"/>
    <x v="1"/>
    <x v="3"/>
    <x v="7"/>
    <x v="2"/>
    <n v="487"/>
    <n v="12369313"/>
  </r>
  <r>
    <x v="6"/>
    <x v="1"/>
    <x v="3"/>
    <x v="7"/>
    <x v="4"/>
    <n v="939"/>
    <n v="20945334"/>
  </r>
  <r>
    <x v="7"/>
    <x v="2"/>
    <x v="3"/>
    <x v="7"/>
    <x v="3"/>
    <n v="679"/>
    <n v="66749774"/>
  </r>
  <r>
    <x v="0"/>
    <x v="1"/>
    <x v="4"/>
    <x v="0"/>
    <x v="0"/>
    <n v="65"/>
    <n v="1149070"/>
  </r>
  <r>
    <x v="1"/>
    <x v="2"/>
    <x v="4"/>
    <x v="0"/>
    <x v="3"/>
    <n v="1781"/>
    <n v="182174928"/>
  </r>
  <r>
    <x v="2"/>
    <x v="0"/>
    <x v="4"/>
    <x v="0"/>
    <x v="6"/>
    <n v="1314"/>
    <n v="18779688"/>
  </r>
  <r>
    <x v="3"/>
    <x v="0"/>
    <x v="4"/>
    <x v="0"/>
    <x v="7"/>
    <n v="52"/>
    <n v="375076"/>
  </r>
  <r>
    <x v="4"/>
    <x v="2"/>
    <x v="4"/>
    <x v="0"/>
    <x v="2"/>
    <n v="1311"/>
    <n v="107062815"/>
  </r>
  <r>
    <x v="5"/>
    <x v="2"/>
    <x v="4"/>
    <x v="0"/>
    <x v="8"/>
    <n v="424"/>
    <n v="31598176"/>
  </r>
  <r>
    <x v="6"/>
    <x v="2"/>
    <x v="4"/>
    <x v="0"/>
    <x v="0"/>
    <n v="382"/>
    <n v="35515686"/>
  </r>
  <r>
    <x v="7"/>
    <x v="2"/>
    <x v="4"/>
    <x v="0"/>
    <x v="6"/>
    <n v="1856"/>
    <n v="190590784"/>
  </r>
  <r>
    <x v="0"/>
    <x v="1"/>
    <x v="4"/>
    <x v="1"/>
    <x v="5"/>
    <n v="944"/>
    <n v="27965056"/>
  </r>
  <r>
    <x v="1"/>
    <x v="0"/>
    <x v="4"/>
    <x v="1"/>
    <x v="7"/>
    <n v="893"/>
    <n v="10636523"/>
  </r>
  <r>
    <x v="2"/>
    <x v="0"/>
    <x v="4"/>
    <x v="1"/>
    <x v="5"/>
    <n v="1980"/>
    <n v="25783560"/>
  </r>
  <r>
    <x v="3"/>
    <x v="1"/>
    <x v="4"/>
    <x v="1"/>
    <x v="3"/>
    <n v="1145"/>
    <n v="25252975"/>
  </r>
  <r>
    <x v="4"/>
    <x v="2"/>
    <x v="4"/>
    <x v="1"/>
    <x v="0"/>
    <n v="850"/>
    <n v="37460350"/>
  </r>
  <r>
    <x v="5"/>
    <x v="1"/>
    <x v="4"/>
    <x v="1"/>
    <x v="2"/>
    <n v="422"/>
    <n v="12848634"/>
  </r>
  <r>
    <x v="6"/>
    <x v="0"/>
    <x v="4"/>
    <x v="1"/>
    <x v="2"/>
    <n v="823"/>
    <n v="5895149"/>
  </r>
  <r>
    <x v="7"/>
    <x v="0"/>
    <x v="4"/>
    <x v="1"/>
    <x v="4"/>
    <n v="1458"/>
    <n v="19987722"/>
  </r>
  <r>
    <x v="0"/>
    <x v="0"/>
    <x v="4"/>
    <x v="2"/>
    <x v="9"/>
    <n v="1350"/>
    <n v="17578350"/>
  </r>
  <r>
    <x v="1"/>
    <x v="0"/>
    <x v="4"/>
    <x v="2"/>
    <x v="6"/>
    <n v="875"/>
    <n v="11991000"/>
  </r>
  <r>
    <x v="2"/>
    <x v="0"/>
    <x v="4"/>
    <x v="2"/>
    <x v="3"/>
    <n v="1988"/>
    <n v="14148596"/>
  </r>
  <r>
    <x v="3"/>
    <x v="1"/>
    <x v="4"/>
    <x v="2"/>
    <x v="1"/>
    <n v="230"/>
    <n v="5752300"/>
  </r>
  <r>
    <x v="4"/>
    <x v="0"/>
    <x v="4"/>
    <x v="2"/>
    <x v="2"/>
    <n v="164"/>
    <n v="1668044"/>
  </r>
  <r>
    <x v="5"/>
    <x v="0"/>
    <x v="4"/>
    <x v="2"/>
    <x v="0"/>
    <n v="1324"/>
    <n v="18175872"/>
  </r>
  <r>
    <x v="6"/>
    <x v="1"/>
    <x v="4"/>
    <x v="2"/>
    <x v="3"/>
    <n v="1591"/>
    <n v="39249970"/>
  </r>
  <r>
    <x v="7"/>
    <x v="0"/>
    <x v="4"/>
    <x v="2"/>
    <x v="7"/>
    <n v="1321"/>
    <n v="17075246"/>
  </r>
  <r>
    <x v="0"/>
    <x v="2"/>
    <x v="4"/>
    <x v="3"/>
    <x v="6"/>
    <n v="668"/>
    <n v="64442628"/>
  </r>
  <r>
    <x v="1"/>
    <x v="0"/>
    <x v="4"/>
    <x v="3"/>
    <x v="4"/>
    <n v="1318"/>
    <n v="18799952"/>
  </r>
  <r>
    <x v="2"/>
    <x v="2"/>
    <x v="4"/>
    <x v="3"/>
    <x v="6"/>
    <n v="216"/>
    <n v="22460976"/>
  </r>
  <r>
    <x v="3"/>
    <x v="0"/>
    <x v="4"/>
    <x v="3"/>
    <x v="7"/>
    <n v="235"/>
    <n v="2413215"/>
  </r>
  <r>
    <x v="4"/>
    <x v="0"/>
    <x v="4"/>
    <x v="3"/>
    <x v="0"/>
    <n v="1586"/>
    <n v="14370746"/>
  </r>
  <r>
    <x v="5"/>
    <x v="2"/>
    <x v="4"/>
    <x v="3"/>
    <x v="1"/>
    <n v="1054"/>
    <n v="118595026"/>
  </r>
  <r>
    <x v="6"/>
    <x v="0"/>
    <x v="4"/>
    <x v="3"/>
    <x v="6"/>
    <n v="892"/>
    <n v="7854952"/>
  </r>
  <r>
    <x v="7"/>
    <x v="2"/>
    <x v="4"/>
    <x v="3"/>
    <x v="7"/>
    <n v="1560"/>
    <n v="79820520"/>
  </r>
  <r>
    <x v="0"/>
    <x v="0"/>
    <x v="4"/>
    <x v="4"/>
    <x v="9"/>
    <n v="240"/>
    <n v="3278880"/>
  </r>
  <r>
    <x v="1"/>
    <x v="1"/>
    <x v="4"/>
    <x v="4"/>
    <x v="0"/>
    <n v="435"/>
    <n v="7267980"/>
  </r>
  <r>
    <x v="2"/>
    <x v="1"/>
    <x v="4"/>
    <x v="4"/>
    <x v="4"/>
    <n v="1366"/>
    <n v="30587472"/>
  </r>
  <r>
    <x v="3"/>
    <x v="2"/>
    <x v="4"/>
    <x v="4"/>
    <x v="9"/>
    <n v="92"/>
    <n v="7974376"/>
  </r>
  <r>
    <x v="4"/>
    <x v="0"/>
    <x v="4"/>
    <x v="4"/>
    <x v="9"/>
    <n v="1154"/>
    <n v="10608722"/>
  </r>
  <r>
    <x v="5"/>
    <x v="2"/>
    <x v="4"/>
    <x v="4"/>
    <x v="7"/>
    <n v="1750"/>
    <n v="169764000"/>
  </r>
  <r>
    <x v="6"/>
    <x v="2"/>
    <x v="4"/>
    <x v="4"/>
    <x v="0"/>
    <n v="404"/>
    <n v="16744184"/>
  </r>
  <r>
    <x v="7"/>
    <x v="1"/>
    <x v="4"/>
    <x v="4"/>
    <x v="2"/>
    <n v="1360"/>
    <n v="31237840"/>
  </r>
  <r>
    <x v="0"/>
    <x v="1"/>
    <x v="4"/>
    <x v="5"/>
    <x v="6"/>
    <n v="1907"/>
    <n v="73680759"/>
  </r>
  <r>
    <x v="1"/>
    <x v="2"/>
    <x v="4"/>
    <x v="5"/>
    <x v="7"/>
    <n v="646"/>
    <n v="55192948"/>
  </r>
  <r>
    <x v="2"/>
    <x v="1"/>
    <x v="4"/>
    <x v="5"/>
    <x v="4"/>
    <n v="1230"/>
    <n v="45527220"/>
  </r>
  <r>
    <x v="3"/>
    <x v="1"/>
    <x v="4"/>
    <x v="5"/>
    <x v="0"/>
    <n v="682"/>
    <n v="12756128"/>
  </r>
  <r>
    <x v="4"/>
    <x v="0"/>
    <x v="4"/>
    <x v="5"/>
    <x v="5"/>
    <n v="1773"/>
    <n v="26541810"/>
  </r>
  <r>
    <x v="5"/>
    <x v="0"/>
    <x v="4"/>
    <x v="5"/>
    <x v="1"/>
    <n v="807"/>
    <n v="12103386"/>
  </r>
  <r>
    <x v="6"/>
    <x v="2"/>
    <x v="4"/>
    <x v="5"/>
    <x v="8"/>
    <n v="1948"/>
    <n v="121605848"/>
  </r>
  <r>
    <x v="7"/>
    <x v="2"/>
    <x v="4"/>
    <x v="5"/>
    <x v="5"/>
    <n v="281"/>
    <n v="13634682"/>
  </r>
  <r>
    <x v="0"/>
    <x v="1"/>
    <x v="4"/>
    <x v="6"/>
    <x v="7"/>
    <n v="1694"/>
    <n v="40940592"/>
  </r>
  <r>
    <x v="1"/>
    <x v="2"/>
    <x v="4"/>
    <x v="6"/>
    <x v="0"/>
    <n v="446"/>
    <n v="36623736"/>
  </r>
  <r>
    <x v="2"/>
    <x v="2"/>
    <x v="4"/>
    <x v="6"/>
    <x v="9"/>
    <n v="211"/>
    <n v="17172657"/>
  </r>
  <r>
    <x v="3"/>
    <x v="0"/>
    <x v="4"/>
    <x v="6"/>
    <x v="7"/>
    <n v="290"/>
    <n v="3143600"/>
  </r>
  <r>
    <x v="4"/>
    <x v="2"/>
    <x v="4"/>
    <x v="6"/>
    <x v="9"/>
    <n v="466"/>
    <n v="31493678"/>
  </r>
  <r>
    <x v="5"/>
    <x v="0"/>
    <x v="4"/>
    <x v="6"/>
    <x v="2"/>
    <n v="1478"/>
    <n v="13325648"/>
  </r>
  <r>
    <x v="6"/>
    <x v="0"/>
    <x v="4"/>
    <x v="6"/>
    <x v="1"/>
    <n v="1413"/>
    <n v="15333876"/>
  </r>
  <r>
    <x v="7"/>
    <x v="0"/>
    <x v="4"/>
    <x v="6"/>
    <x v="2"/>
    <n v="1511"/>
    <n v="14955878"/>
  </r>
  <r>
    <x v="0"/>
    <x v="2"/>
    <x v="4"/>
    <x v="7"/>
    <x v="2"/>
    <n v="183"/>
    <n v="14819889"/>
  </r>
  <r>
    <x v="1"/>
    <x v="1"/>
    <x v="4"/>
    <x v="7"/>
    <x v="3"/>
    <n v="683"/>
    <n v="22409230"/>
  </r>
  <r>
    <x v="2"/>
    <x v="2"/>
    <x v="4"/>
    <x v="7"/>
    <x v="2"/>
    <n v="289"/>
    <n v="14965576"/>
  </r>
  <r>
    <x v="3"/>
    <x v="1"/>
    <x v="4"/>
    <x v="7"/>
    <x v="5"/>
    <n v="636"/>
    <n v="20534532"/>
  </r>
  <r>
    <x v="4"/>
    <x v="0"/>
    <x v="4"/>
    <x v="7"/>
    <x v="9"/>
    <n v="906"/>
    <n v="7043244"/>
  </r>
  <r>
    <x v="5"/>
    <x v="2"/>
    <x v="4"/>
    <x v="7"/>
    <x v="5"/>
    <n v="1773"/>
    <n v="178775136"/>
  </r>
  <r>
    <x v="6"/>
    <x v="2"/>
    <x v="4"/>
    <x v="7"/>
    <x v="7"/>
    <n v="486"/>
    <n v="23069448"/>
  </r>
  <r>
    <x v="7"/>
    <x v="1"/>
    <x v="4"/>
    <x v="7"/>
    <x v="6"/>
    <n v="252"/>
    <n v="5966604"/>
  </r>
  <r>
    <x v="0"/>
    <x v="0"/>
    <x v="5"/>
    <x v="0"/>
    <x v="4"/>
    <n v="1962"/>
    <n v="16867314"/>
  </r>
  <r>
    <x v="1"/>
    <x v="0"/>
    <x v="5"/>
    <x v="0"/>
    <x v="8"/>
    <n v="748"/>
    <n v="8218276"/>
  </r>
  <r>
    <x v="2"/>
    <x v="1"/>
    <x v="5"/>
    <x v="0"/>
    <x v="9"/>
    <n v="881"/>
    <n v="20858556"/>
  </r>
  <r>
    <x v="3"/>
    <x v="2"/>
    <x v="5"/>
    <x v="0"/>
    <x v="8"/>
    <n v="738"/>
    <n v="51795054"/>
  </r>
  <r>
    <x v="4"/>
    <x v="0"/>
    <x v="5"/>
    <x v="0"/>
    <x v="1"/>
    <n v="291"/>
    <n v="3420414"/>
  </r>
  <r>
    <x v="5"/>
    <x v="1"/>
    <x v="5"/>
    <x v="0"/>
    <x v="1"/>
    <n v="574"/>
    <n v="21325248"/>
  </r>
  <r>
    <x v="6"/>
    <x v="1"/>
    <x v="5"/>
    <x v="0"/>
    <x v="1"/>
    <n v="1033"/>
    <n v="35185013"/>
  </r>
  <r>
    <x v="7"/>
    <x v="1"/>
    <x v="5"/>
    <x v="0"/>
    <x v="2"/>
    <n v="417"/>
    <n v="10153116"/>
  </r>
  <r>
    <x v="0"/>
    <x v="2"/>
    <x v="5"/>
    <x v="1"/>
    <x v="4"/>
    <n v="1932"/>
    <n v="173041512"/>
  </r>
  <r>
    <x v="1"/>
    <x v="0"/>
    <x v="5"/>
    <x v="1"/>
    <x v="5"/>
    <n v="493"/>
    <n v="6777271"/>
  </r>
  <r>
    <x v="2"/>
    <x v="2"/>
    <x v="5"/>
    <x v="1"/>
    <x v="2"/>
    <n v="1099"/>
    <n v="47047091"/>
  </r>
  <r>
    <x v="3"/>
    <x v="2"/>
    <x v="5"/>
    <x v="1"/>
    <x v="3"/>
    <n v="1119"/>
    <n v="118511052"/>
  </r>
  <r>
    <x v="4"/>
    <x v="1"/>
    <x v="5"/>
    <x v="1"/>
    <x v="7"/>
    <n v="566"/>
    <n v="14824672"/>
  </r>
  <r>
    <x v="5"/>
    <x v="2"/>
    <x v="5"/>
    <x v="1"/>
    <x v="0"/>
    <n v="117"/>
    <n v="7975071"/>
  </r>
  <r>
    <x v="6"/>
    <x v="0"/>
    <x v="5"/>
    <x v="1"/>
    <x v="2"/>
    <n v="1220"/>
    <n v="13504180"/>
  </r>
  <r>
    <x v="7"/>
    <x v="2"/>
    <x v="5"/>
    <x v="1"/>
    <x v="0"/>
    <n v="1416"/>
    <n v="108360816"/>
  </r>
  <r>
    <x v="0"/>
    <x v="1"/>
    <x v="5"/>
    <x v="2"/>
    <x v="2"/>
    <n v="472"/>
    <n v="18065328"/>
  </r>
  <r>
    <x v="1"/>
    <x v="1"/>
    <x v="5"/>
    <x v="2"/>
    <x v="1"/>
    <n v="236"/>
    <n v="8701084"/>
  </r>
  <r>
    <x v="2"/>
    <x v="0"/>
    <x v="5"/>
    <x v="2"/>
    <x v="9"/>
    <n v="492"/>
    <n v="4222344"/>
  </r>
  <r>
    <x v="3"/>
    <x v="2"/>
    <x v="5"/>
    <x v="2"/>
    <x v="8"/>
    <n v="981"/>
    <n v="50609790"/>
  </r>
  <r>
    <x v="4"/>
    <x v="0"/>
    <x v="5"/>
    <x v="2"/>
    <x v="0"/>
    <n v="1348"/>
    <n v="11982372"/>
  </r>
  <r>
    <x v="5"/>
    <x v="1"/>
    <x v="5"/>
    <x v="2"/>
    <x v="3"/>
    <n v="1327"/>
    <n v="25137361"/>
  </r>
  <r>
    <x v="6"/>
    <x v="1"/>
    <x v="5"/>
    <x v="2"/>
    <x v="1"/>
    <n v="621"/>
    <n v="19172754"/>
  </r>
  <r>
    <x v="7"/>
    <x v="1"/>
    <x v="5"/>
    <x v="2"/>
    <x v="1"/>
    <n v="756"/>
    <n v="17707032"/>
  </r>
  <r>
    <x v="0"/>
    <x v="0"/>
    <x v="5"/>
    <x v="3"/>
    <x v="8"/>
    <n v="1039"/>
    <n v="8747341"/>
  </r>
  <r>
    <x v="1"/>
    <x v="2"/>
    <x v="5"/>
    <x v="3"/>
    <x v="8"/>
    <n v="452"/>
    <n v="54134684"/>
  </r>
  <r>
    <x v="2"/>
    <x v="0"/>
    <x v="5"/>
    <x v="3"/>
    <x v="1"/>
    <n v="1863"/>
    <n v="25994439"/>
  </r>
  <r>
    <x v="3"/>
    <x v="0"/>
    <x v="5"/>
    <x v="3"/>
    <x v="8"/>
    <n v="127"/>
    <n v="1712849"/>
  </r>
  <r>
    <x v="4"/>
    <x v="1"/>
    <x v="5"/>
    <x v="3"/>
    <x v="0"/>
    <n v="199"/>
    <n v="3199323"/>
  </r>
  <r>
    <x v="5"/>
    <x v="1"/>
    <x v="5"/>
    <x v="3"/>
    <x v="2"/>
    <n v="1419"/>
    <n v="32158797"/>
  </r>
  <r>
    <x v="6"/>
    <x v="2"/>
    <x v="5"/>
    <x v="3"/>
    <x v="3"/>
    <n v="583"/>
    <n v="44163416"/>
  </r>
  <r>
    <x v="7"/>
    <x v="0"/>
    <x v="5"/>
    <x v="3"/>
    <x v="7"/>
    <n v="655"/>
    <n v="8448845"/>
  </r>
  <r>
    <x v="0"/>
    <x v="1"/>
    <x v="5"/>
    <x v="4"/>
    <x v="2"/>
    <n v="1050"/>
    <n v="32817750"/>
  </r>
  <r>
    <x v="1"/>
    <x v="0"/>
    <x v="5"/>
    <x v="4"/>
    <x v="9"/>
    <n v="1891"/>
    <n v="21935600"/>
  </r>
  <r>
    <x v="2"/>
    <x v="1"/>
    <x v="5"/>
    <x v="4"/>
    <x v="5"/>
    <n v="254"/>
    <n v="7597394"/>
  </r>
  <r>
    <x v="3"/>
    <x v="2"/>
    <x v="5"/>
    <x v="4"/>
    <x v="9"/>
    <n v="1489"/>
    <n v="101457482"/>
  </r>
  <r>
    <x v="4"/>
    <x v="2"/>
    <x v="5"/>
    <x v="4"/>
    <x v="1"/>
    <n v="1442"/>
    <n v="157307780"/>
  </r>
  <r>
    <x v="5"/>
    <x v="1"/>
    <x v="5"/>
    <x v="4"/>
    <x v="9"/>
    <n v="1381"/>
    <n v="32300209"/>
  </r>
  <r>
    <x v="6"/>
    <x v="0"/>
    <x v="5"/>
    <x v="4"/>
    <x v="8"/>
    <n v="1153"/>
    <n v="8355791"/>
  </r>
  <r>
    <x v="7"/>
    <x v="1"/>
    <x v="5"/>
    <x v="4"/>
    <x v="8"/>
    <n v="1363"/>
    <n v="23303211"/>
  </r>
  <r>
    <x v="0"/>
    <x v="2"/>
    <x v="5"/>
    <x v="5"/>
    <x v="7"/>
    <n v="1368"/>
    <n v="82408320"/>
  </r>
  <r>
    <x v="1"/>
    <x v="1"/>
    <x v="5"/>
    <x v="5"/>
    <x v="7"/>
    <n v="1924"/>
    <n v="62183680"/>
  </r>
  <r>
    <x v="2"/>
    <x v="2"/>
    <x v="5"/>
    <x v="5"/>
    <x v="2"/>
    <n v="296"/>
    <n v="16036392"/>
  </r>
  <r>
    <x v="3"/>
    <x v="1"/>
    <x v="5"/>
    <x v="5"/>
    <x v="7"/>
    <n v="202"/>
    <n v="6731448"/>
  </r>
  <r>
    <x v="4"/>
    <x v="0"/>
    <x v="5"/>
    <x v="5"/>
    <x v="4"/>
    <n v="172"/>
    <n v="1393716"/>
  </r>
  <r>
    <x v="5"/>
    <x v="1"/>
    <x v="5"/>
    <x v="5"/>
    <x v="9"/>
    <n v="264"/>
    <n v="5980392"/>
  </r>
  <r>
    <x v="6"/>
    <x v="0"/>
    <x v="5"/>
    <x v="5"/>
    <x v="5"/>
    <n v="1497"/>
    <n v="10998459"/>
  </r>
  <r>
    <x v="7"/>
    <x v="0"/>
    <x v="5"/>
    <x v="5"/>
    <x v="6"/>
    <n v="1214"/>
    <n v="11508720"/>
  </r>
  <r>
    <x v="0"/>
    <x v="2"/>
    <x v="5"/>
    <x v="6"/>
    <x v="2"/>
    <n v="254"/>
    <n v="17788890"/>
  </r>
  <r>
    <x v="1"/>
    <x v="0"/>
    <x v="5"/>
    <x v="6"/>
    <x v="8"/>
    <n v="194"/>
    <n v="2452160"/>
  </r>
  <r>
    <x v="2"/>
    <x v="0"/>
    <x v="5"/>
    <x v="6"/>
    <x v="1"/>
    <n v="131"/>
    <n v="1623745"/>
  </r>
  <r>
    <x v="3"/>
    <x v="2"/>
    <x v="5"/>
    <x v="6"/>
    <x v="3"/>
    <n v="93"/>
    <n v="6519951"/>
  </r>
  <r>
    <x v="4"/>
    <x v="0"/>
    <x v="5"/>
    <x v="6"/>
    <x v="3"/>
    <n v="604"/>
    <n v="5487944"/>
  </r>
  <r>
    <x v="5"/>
    <x v="0"/>
    <x v="5"/>
    <x v="6"/>
    <x v="6"/>
    <n v="583"/>
    <n v="4563724"/>
  </r>
  <r>
    <x v="6"/>
    <x v="2"/>
    <x v="5"/>
    <x v="6"/>
    <x v="4"/>
    <n v="399"/>
    <n v="27513045"/>
  </r>
  <r>
    <x v="7"/>
    <x v="0"/>
    <x v="5"/>
    <x v="6"/>
    <x v="7"/>
    <n v="437"/>
    <n v="4986170"/>
  </r>
  <r>
    <x v="0"/>
    <x v="0"/>
    <x v="5"/>
    <x v="7"/>
    <x v="5"/>
    <n v="875"/>
    <n v="7802375"/>
  </r>
  <r>
    <x v="1"/>
    <x v="0"/>
    <x v="5"/>
    <x v="7"/>
    <x v="8"/>
    <n v="688"/>
    <n v="8356448"/>
  </r>
  <r>
    <x v="2"/>
    <x v="2"/>
    <x v="5"/>
    <x v="7"/>
    <x v="0"/>
    <n v="1495"/>
    <n v="126907560"/>
  </r>
  <r>
    <x v="3"/>
    <x v="1"/>
    <x v="5"/>
    <x v="7"/>
    <x v="5"/>
    <n v="1798"/>
    <n v="37105326"/>
  </r>
  <r>
    <x v="4"/>
    <x v="1"/>
    <x v="5"/>
    <x v="7"/>
    <x v="9"/>
    <n v="1287"/>
    <n v="47981934"/>
  </r>
  <r>
    <x v="5"/>
    <x v="1"/>
    <x v="5"/>
    <x v="7"/>
    <x v="3"/>
    <n v="1387"/>
    <n v="23694121"/>
  </r>
  <r>
    <x v="6"/>
    <x v="1"/>
    <x v="5"/>
    <x v="7"/>
    <x v="3"/>
    <n v="657"/>
    <n v="22130388"/>
  </r>
  <r>
    <x v="7"/>
    <x v="2"/>
    <x v="5"/>
    <x v="7"/>
    <x v="0"/>
    <n v="347"/>
    <n v="228329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5FD64-2CFF-43AC-9299-FAEE815FC8C5}" name="units sold according to prior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7" firstHeaderRow="1" firstDataRow="1" firstDataCol="1"/>
  <pivotFields count="7">
    <pivotField showAll="0">
      <items count="9">
        <item x="1"/>
        <item x="7"/>
        <item x="3"/>
        <item x="5"/>
        <item x="6"/>
        <item x="0"/>
        <item x="4"/>
        <item x="2"/>
        <item t="default"/>
      </items>
    </pivotField>
    <pivotField axis="axisRow" showAll="0">
      <items count="4">
        <item x="0"/>
        <item x="2"/>
        <item x="1"/>
        <item t="default"/>
      </items>
    </pivotField>
    <pivotField showAll="0">
      <items count="7">
        <item x="0"/>
        <item h="1" x="1"/>
        <item h="1" x="2"/>
        <item h="1" x="3"/>
        <item h="1" x="4"/>
        <item h="1" x="5"/>
        <item t="default"/>
      </items>
    </pivotField>
    <pivotField showAll="0"/>
    <pivotField showAll="0"/>
    <pivotField dataField="1" showAll="0"/>
    <pivotField showAll="0"/>
  </pivotFields>
  <rowFields count="1">
    <field x="1"/>
  </rowFields>
  <rowItems count="4">
    <i>
      <x/>
    </i>
    <i>
      <x v="1"/>
    </i>
    <i>
      <x v="2"/>
    </i>
    <i t="grand">
      <x/>
    </i>
  </rowItems>
  <colItems count="1">
    <i/>
  </colItems>
  <dataFields count="1">
    <dataField name="Sum of Units Sold" fld="5"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2D0F9-774A-4F93-9DCF-187674DC2AF8}" name="sales amount by each representat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G3:H14" firstHeaderRow="1" firstDataRow="1" firstDataCol="1"/>
  <pivotFields count="7">
    <pivotField showAll="0">
      <items count="9">
        <item x="1"/>
        <item x="7"/>
        <item x="3"/>
        <item x="5"/>
        <item x="6"/>
        <item x="0"/>
        <item x="4"/>
        <item x="2"/>
        <item t="default"/>
      </items>
    </pivotField>
    <pivotField showAll="0"/>
    <pivotField showAll="0">
      <items count="7">
        <item x="0"/>
        <item h="1" x="1"/>
        <item h="1" x="2"/>
        <item h="1" x="3"/>
        <item h="1" x="4"/>
        <item h="1" x="5"/>
        <item t="default"/>
      </items>
    </pivotField>
    <pivotField showAll="0"/>
    <pivotField axis="axisRow" showAll="0">
      <items count="11">
        <item x="2"/>
        <item x="9"/>
        <item x="0"/>
        <item x="5"/>
        <item x="4"/>
        <item x="7"/>
        <item x="1"/>
        <item x="8"/>
        <item x="6"/>
        <item x="3"/>
        <item t="default"/>
      </items>
    </pivotField>
    <pivotField showAll="0"/>
    <pivotField dataField="1" showAll="0"/>
  </pivotFields>
  <rowFields count="1">
    <field x="4"/>
  </rowFields>
  <rowItems count="11">
    <i>
      <x/>
    </i>
    <i>
      <x v="1"/>
    </i>
    <i>
      <x v="2"/>
    </i>
    <i>
      <x v="3"/>
    </i>
    <i>
      <x v="4"/>
    </i>
    <i>
      <x v="5"/>
    </i>
    <i>
      <x v="6"/>
    </i>
    <i>
      <x v="7"/>
    </i>
    <i>
      <x v="8"/>
    </i>
    <i>
      <x v="9"/>
    </i>
    <i t="grand">
      <x/>
    </i>
  </rowItems>
  <colItems count="1">
    <i/>
  </colItems>
  <dataFields count="1">
    <dataField name="Sum of Sales Amount (₹)" fld="6" baseField="0" baseItem="0" numFmtId="3"/>
  </dataFields>
  <chartFormats count="34">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4" format="2">
      <pivotArea type="data" outline="0" fieldPosition="0">
        <references count="2">
          <reference field="4294967294" count="1" selected="0">
            <x v="0"/>
          </reference>
          <reference field="4" count="1" selected="0">
            <x v="0"/>
          </reference>
        </references>
      </pivotArea>
    </chartFormat>
    <chartFormat chart="34" format="3">
      <pivotArea type="data" outline="0" fieldPosition="0">
        <references count="2">
          <reference field="4294967294" count="1" selected="0">
            <x v="0"/>
          </reference>
          <reference field="4" count="1" selected="0">
            <x v="1"/>
          </reference>
        </references>
      </pivotArea>
    </chartFormat>
    <chartFormat chart="34" format="4">
      <pivotArea type="data" outline="0" fieldPosition="0">
        <references count="2">
          <reference field="4294967294" count="1" selected="0">
            <x v="0"/>
          </reference>
          <reference field="4" count="1" selected="0">
            <x v="2"/>
          </reference>
        </references>
      </pivotArea>
    </chartFormat>
    <chartFormat chart="34" format="5">
      <pivotArea type="data" outline="0" fieldPosition="0">
        <references count="2">
          <reference field="4294967294" count="1" selected="0">
            <x v="0"/>
          </reference>
          <reference field="4" count="1" selected="0">
            <x v="3"/>
          </reference>
        </references>
      </pivotArea>
    </chartFormat>
    <chartFormat chart="34" format="6">
      <pivotArea type="data" outline="0" fieldPosition="0">
        <references count="2">
          <reference field="4294967294" count="1" selected="0">
            <x v="0"/>
          </reference>
          <reference field="4" count="1" selected="0">
            <x v="4"/>
          </reference>
        </references>
      </pivotArea>
    </chartFormat>
    <chartFormat chart="34" format="7">
      <pivotArea type="data" outline="0" fieldPosition="0">
        <references count="2">
          <reference field="4294967294" count="1" selected="0">
            <x v="0"/>
          </reference>
          <reference field="4" count="1" selected="0">
            <x v="5"/>
          </reference>
        </references>
      </pivotArea>
    </chartFormat>
    <chartFormat chart="34" format="8">
      <pivotArea type="data" outline="0" fieldPosition="0">
        <references count="2">
          <reference field="4294967294" count="1" selected="0">
            <x v="0"/>
          </reference>
          <reference field="4" count="1" selected="0">
            <x v="6"/>
          </reference>
        </references>
      </pivotArea>
    </chartFormat>
    <chartFormat chart="34" format="9">
      <pivotArea type="data" outline="0" fieldPosition="0">
        <references count="2">
          <reference field="4294967294" count="1" selected="0">
            <x v="0"/>
          </reference>
          <reference field="4" count="1" selected="0">
            <x v="7"/>
          </reference>
        </references>
      </pivotArea>
    </chartFormat>
    <chartFormat chart="34" format="10">
      <pivotArea type="data" outline="0" fieldPosition="0">
        <references count="2">
          <reference field="4294967294" count="1" selected="0">
            <x v="0"/>
          </reference>
          <reference field="4" count="1" selected="0">
            <x v="8"/>
          </reference>
        </references>
      </pivotArea>
    </chartFormat>
    <chartFormat chart="34" format="11">
      <pivotArea type="data" outline="0" fieldPosition="0">
        <references count="2">
          <reference field="4294967294" count="1" selected="0">
            <x v="0"/>
          </reference>
          <reference field="4" count="1" selected="0">
            <x v="9"/>
          </reference>
        </references>
      </pivotArea>
    </chartFormat>
    <chartFormat chart="35" format="12" series="1">
      <pivotArea type="data" outline="0" fieldPosition="0">
        <references count="1">
          <reference field="4294967294" count="1" selected="0">
            <x v="0"/>
          </reference>
        </references>
      </pivotArea>
    </chartFormat>
    <chartFormat chart="35" format="13">
      <pivotArea type="data" outline="0" fieldPosition="0">
        <references count="2">
          <reference field="4294967294" count="1" selected="0">
            <x v="0"/>
          </reference>
          <reference field="4" count="1" selected="0">
            <x v="0"/>
          </reference>
        </references>
      </pivotArea>
    </chartFormat>
    <chartFormat chart="35" format="14">
      <pivotArea type="data" outline="0" fieldPosition="0">
        <references count="2">
          <reference field="4294967294" count="1" selected="0">
            <x v="0"/>
          </reference>
          <reference field="4" count="1" selected="0">
            <x v="1"/>
          </reference>
        </references>
      </pivotArea>
    </chartFormat>
    <chartFormat chart="35" format="15">
      <pivotArea type="data" outline="0" fieldPosition="0">
        <references count="2">
          <reference field="4294967294" count="1" selected="0">
            <x v="0"/>
          </reference>
          <reference field="4" count="1" selected="0">
            <x v="2"/>
          </reference>
        </references>
      </pivotArea>
    </chartFormat>
    <chartFormat chart="35" format="16">
      <pivotArea type="data" outline="0" fieldPosition="0">
        <references count="2">
          <reference field="4294967294" count="1" selected="0">
            <x v="0"/>
          </reference>
          <reference field="4" count="1" selected="0">
            <x v="3"/>
          </reference>
        </references>
      </pivotArea>
    </chartFormat>
    <chartFormat chart="35" format="17">
      <pivotArea type="data" outline="0" fieldPosition="0">
        <references count="2">
          <reference field="4294967294" count="1" selected="0">
            <x v="0"/>
          </reference>
          <reference field="4" count="1" selected="0">
            <x v="4"/>
          </reference>
        </references>
      </pivotArea>
    </chartFormat>
    <chartFormat chart="35" format="18">
      <pivotArea type="data" outline="0" fieldPosition="0">
        <references count="2">
          <reference field="4294967294" count="1" selected="0">
            <x v="0"/>
          </reference>
          <reference field="4" count="1" selected="0">
            <x v="5"/>
          </reference>
        </references>
      </pivotArea>
    </chartFormat>
    <chartFormat chart="35" format="19">
      <pivotArea type="data" outline="0" fieldPosition="0">
        <references count="2">
          <reference field="4294967294" count="1" selected="0">
            <x v="0"/>
          </reference>
          <reference field="4" count="1" selected="0">
            <x v="6"/>
          </reference>
        </references>
      </pivotArea>
    </chartFormat>
    <chartFormat chart="35" format="20">
      <pivotArea type="data" outline="0" fieldPosition="0">
        <references count="2">
          <reference field="4294967294" count="1" selected="0">
            <x v="0"/>
          </reference>
          <reference field="4" count="1" selected="0">
            <x v="7"/>
          </reference>
        </references>
      </pivotArea>
    </chartFormat>
    <chartFormat chart="35" format="21">
      <pivotArea type="data" outline="0" fieldPosition="0">
        <references count="2">
          <reference field="4294967294" count="1" selected="0">
            <x v="0"/>
          </reference>
          <reference field="4" count="1" selected="0">
            <x v="8"/>
          </reference>
        </references>
      </pivotArea>
    </chartFormat>
    <chartFormat chart="35" format="22">
      <pivotArea type="data" outline="0" fieldPosition="0">
        <references count="2">
          <reference field="4294967294" count="1" selected="0">
            <x v="0"/>
          </reference>
          <reference field="4" count="1" selected="0">
            <x v="9"/>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4" count="1" selected="0">
            <x v="0"/>
          </reference>
        </references>
      </pivotArea>
    </chartFormat>
    <chartFormat chart="36" format="14">
      <pivotArea type="data" outline="0" fieldPosition="0">
        <references count="2">
          <reference field="4294967294" count="1" selected="0">
            <x v="0"/>
          </reference>
          <reference field="4" count="1" selected="0">
            <x v="1"/>
          </reference>
        </references>
      </pivotArea>
    </chartFormat>
    <chartFormat chart="36" format="15">
      <pivotArea type="data" outline="0" fieldPosition="0">
        <references count="2">
          <reference field="4294967294" count="1" selected="0">
            <x v="0"/>
          </reference>
          <reference field="4" count="1" selected="0">
            <x v="2"/>
          </reference>
        </references>
      </pivotArea>
    </chartFormat>
    <chartFormat chart="36" format="16">
      <pivotArea type="data" outline="0" fieldPosition="0">
        <references count="2">
          <reference field="4294967294" count="1" selected="0">
            <x v="0"/>
          </reference>
          <reference field="4" count="1" selected="0">
            <x v="3"/>
          </reference>
        </references>
      </pivotArea>
    </chartFormat>
    <chartFormat chart="36" format="17">
      <pivotArea type="data" outline="0" fieldPosition="0">
        <references count="2">
          <reference field="4294967294" count="1" selected="0">
            <x v="0"/>
          </reference>
          <reference field="4" count="1" selected="0">
            <x v="4"/>
          </reference>
        </references>
      </pivotArea>
    </chartFormat>
    <chartFormat chart="36" format="18">
      <pivotArea type="data" outline="0" fieldPosition="0">
        <references count="2">
          <reference field="4294967294" count="1" selected="0">
            <x v="0"/>
          </reference>
          <reference field="4" count="1" selected="0">
            <x v="5"/>
          </reference>
        </references>
      </pivotArea>
    </chartFormat>
    <chartFormat chart="36" format="19">
      <pivotArea type="data" outline="0" fieldPosition="0">
        <references count="2">
          <reference field="4294967294" count="1" selected="0">
            <x v="0"/>
          </reference>
          <reference field="4" count="1" selected="0">
            <x v="6"/>
          </reference>
        </references>
      </pivotArea>
    </chartFormat>
    <chartFormat chart="36" format="20">
      <pivotArea type="data" outline="0" fieldPosition="0">
        <references count="2">
          <reference field="4294967294" count="1" selected="0">
            <x v="0"/>
          </reference>
          <reference field="4" count="1" selected="0">
            <x v="7"/>
          </reference>
        </references>
      </pivotArea>
    </chartFormat>
    <chartFormat chart="36" format="21">
      <pivotArea type="data" outline="0" fieldPosition="0">
        <references count="2">
          <reference field="4294967294" count="1" selected="0">
            <x v="0"/>
          </reference>
          <reference field="4" count="1" selected="0">
            <x v="8"/>
          </reference>
        </references>
      </pivotArea>
    </chartFormat>
    <chartFormat chart="36"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BB5C3-6E40-4604-ADAF-94E6C422B609}" name="units sold by each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2" firstHeaderRow="1" firstDataRow="1" firstDataCol="1"/>
  <pivotFields count="7">
    <pivotField axis="axisRow" showAll="0">
      <items count="9">
        <item x="1"/>
        <item x="7"/>
        <item x="3"/>
        <item x="5"/>
        <item x="6"/>
        <item x="0"/>
        <item x="4"/>
        <item x="2"/>
        <item t="default"/>
      </items>
    </pivotField>
    <pivotField showAll="0"/>
    <pivotField showAll="0">
      <items count="7">
        <item x="0"/>
        <item h="1" x="1"/>
        <item h="1" x="2"/>
        <item h="1" x="3"/>
        <item h="1" x="4"/>
        <item h="1" x="5"/>
        <item t="default"/>
      </items>
    </pivotField>
    <pivotField showAll="0"/>
    <pivotField showAll="0"/>
    <pivotField dataField="1" showAll="0"/>
    <pivotField showAll="0"/>
  </pivotFields>
  <rowFields count="1">
    <field x="0"/>
  </rowFields>
  <rowItems count="9">
    <i>
      <x/>
    </i>
    <i>
      <x v="1"/>
    </i>
    <i>
      <x v="2"/>
    </i>
    <i>
      <x v="3"/>
    </i>
    <i>
      <x v="4"/>
    </i>
    <i>
      <x v="5"/>
    </i>
    <i>
      <x v="6"/>
    </i>
    <i>
      <x v="7"/>
    </i>
    <i t="grand">
      <x/>
    </i>
  </rowItems>
  <colItems count="1">
    <i/>
  </colItems>
  <dataFields count="1">
    <dataField name="Sum of Units Sold"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04F17-913F-49B4-AA97-C0A74840B9BD}" name="sales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2" firstHeaderRow="1" firstDataRow="1" firstDataCol="1"/>
  <pivotFields count="7">
    <pivotField axis="axisRow" showAll="0">
      <items count="9">
        <item x="1"/>
        <item x="7"/>
        <item x="3"/>
        <item x="5"/>
        <item x="6"/>
        <item x="0"/>
        <item x="4"/>
        <item x="2"/>
        <item t="default"/>
      </items>
    </pivotField>
    <pivotField showAll="0"/>
    <pivotField showAll="0">
      <items count="7">
        <item x="0"/>
        <item h="1" x="1"/>
        <item h="1" x="2"/>
        <item h="1" x="3"/>
        <item h="1" x="4"/>
        <item h="1" x="5"/>
        <item t="default"/>
      </items>
    </pivotField>
    <pivotField showAll="0"/>
    <pivotField showAll="0"/>
    <pivotField showAll="0"/>
    <pivotField dataField="1" showAll="0"/>
  </pivotFields>
  <rowFields count="1">
    <field x="0"/>
  </rowFields>
  <rowItems count="9">
    <i>
      <x/>
    </i>
    <i>
      <x v="1"/>
    </i>
    <i>
      <x v="2"/>
    </i>
    <i>
      <x v="3"/>
    </i>
    <i>
      <x v="4"/>
    </i>
    <i>
      <x v="5"/>
    </i>
    <i>
      <x v="6"/>
    </i>
    <i>
      <x v="7"/>
    </i>
    <i t="grand">
      <x/>
    </i>
  </rowItems>
  <colItems count="1">
    <i/>
  </colItems>
  <dataFields count="1">
    <dataField name="Sum of Sales Amount (₹)" fld="6" baseField="0" baseItem="0" numFmtId="3"/>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11865-22F6-4936-9270-CD130563F117}" name="units sold by each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18:E25" firstHeaderRow="1" firstDataRow="1" firstDataCol="1"/>
  <pivotFields count="7">
    <pivotField showAll="0">
      <items count="9">
        <item x="1"/>
        <item x="7"/>
        <item x="3"/>
        <item x="5"/>
        <item x="6"/>
        <item x="0"/>
        <item x="4"/>
        <item x="2"/>
        <item t="default"/>
      </items>
    </pivotField>
    <pivotField showAll="0"/>
    <pivotField axis="axisRow" showAll="0">
      <items count="7">
        <item x="0"/>
        <item x="1"/>
        <item x="2"/>
        <item x="3"/>
        <item x="4"/>
        <item x="5"/>
        <item t="default"/>
      </items>
    </pivotField>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Units Sold"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7577BD-51DF-4F55-9132-446670C54DA1}" name="sales sold per each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7" firstHeaderRow="1" firstDataRow="1" firstDataCol="1"/>
  <pivotFields count="7">
    <pivotField showAll="0">
      <items count="9">
        <item x="1"/>
        <item x="7"/>
        <item x="3"/>
        <item x="5"/>
        <item x="6"/>
        <item x="0"/>
        <item x="4"/>
        <item x="2"/>
        <item t="default"/>
      </items>
    </pivotField>
    <pivotField showAll="0"/>
    <pivotField showAll="0">
      <items count="7">
        <item x="0"/>
        <item h="1" x="1"/>
        <item h="1" x="2"/>
        <item h="1" x="3"/>
        <item h="1" x="4"/>
        <item h="1" x="5"/>
        <item t="default"/>
      </items>
    </pivotField>
    <pivotField axis="axisRow" showAll="0">
      <items count="9">
        <item x="7"/>
        <item x="3"/>
        <item x="2"/>
        <item x="1"/>
        <item x="4"/>
        <item x="5"/>
        <item x="0"/>
        <item x="6"/>
        <item t="default"/>
      </items>
    </pivotField>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Sales Amount (₹)" fld="6"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11D7D6-7464-4AA9-82E2-750727E2D311}" sourceName="Year">
  <pivotTables>
    <pivotTable tabId="2" name="units sold by each brand"/>
    <pivotTable tabId="2" name="sales amount by each representative"/>
    <pivotTable tabId="2" name="sales by brand"/>
    <pivotTable tabId="2" name="sales sold per each city"/>
    <pivotTable tabId="2" name="units sold according to priorities"/>
  </pivotTables>
  <data>
    <tabular pivotCacheId="1430188132">
      <items count="6">
        <i x="0" s="1"/>
        <i x="1"/>
        <i x="2"/>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296D6BE-2834-4D12-910E-B82F1E66B62B}" sourceName="Brand">
  <pivotTables>
    <pivotTable tabId="2" name="sales amount by each representative"/>
    <pivotTable tabId="2" name="sales sold per each city"/>
    <pivotTable tabId="2" name="units sold by each year"/>
    <pivotTable tabId="2" name="units sold according to priorities"/>
    <pivotTable tabId="2" name="units sold by each brand"/>
  </pivotTables>
  <data>
    <tabular pivotCacheId="1430188132">
      <items count="8">
        <i x="1" s="1"/>
        <i x="7" s="1"/>
        <i x="3" s="1"/>
        <i x="5" s="1"/>
        <i x="6"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36FE6D1-88A5-44D9-ADF9-227E1A8F6FA2}" cache="Slicer_Year" caption="Year" style="SlicerStyleDark6" rowHeight="234950"/>
  <slicer name="Brand" xr10:uid="{A217654B-5FCE-479C-A08D-ECAC85CB4C5B}" cache="Slicer_Brand" caption="Brand" columnCount="2" style="SlicerStyleDark6" rowHeight="234950"/>
</slicers>
</file>

<file path=xl/theme/theme1.xml><?xml version="1.0" encoding="utf-8"?>
<a:theme xmlns:a="http://schemas.openxmlformats.org/drawingml/2006/main" name="Office Theme 2007 - 2010">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3756-CF4C-41F9-AABD-D35DCD1EA9F9}">
  <dimension ref="A1"/>
  <sheetViews>
    <sheetView showGridLines="0" zoomScale="44" zoomScaleNormal="68" workbookViewId="0">
      <selection activeCell="AE59" sqref="AE5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5"/>
  <sheetViews>
    <sheetView tabSelected="1" zoomScale="118" workbookViewId="0">
      <selection activeCell="J3" sqref="J3"/>
    </sheetView>
  </sheetViews>
  <sheetFormatPr defaultRowHeight="14.4" x14ac:dyDescent="0.3"/>
  <cols>
    <col min="1" max="1" width="10.77734375" customWidth="1"/>
    <col min="2" max="2" width="11.44140625" customWidth="1"/>
    <col min="3" max="3" width="11.88671875" style="2" customWidth="1"/>
    <col min="4" max="4" width="13.21875" style="2" customWidth="1"/>
    <col min="5" max="5" width="21.109375" style="2" customWidth="1"/>
    <col min="6" max="6" width="13.109375" style="2" customWidth="1"/>
    <col min="7" max="7" width="17.77734375" style="2" customWidth="1"/>
    <col min="8" max="8" width="19" customWidth="1"/>
  </cols>
  <sheetData>
    <row r="1" spans="1:10" ht="15.6" x14ac:dyDescent="0.3">
      <c r="A1" s="7" t="s">
        <v>0</v>
      </c>
      <c r="B1" s="7" t="s">
        <v>1</v>
      </c>
      <c r="C1" s="7" t="s">
        <v>2</v>
      </c>
      <c r="D1" s="7" t="s">
        <v>3</v>
      </c>
      <c r="E1" s="7" t="s">
        <v>4</v>
      </c>
      <c r="F1" s="7" t="s">
        <v>5</v>
      </c>
      <c r="G1" s="7" t="s">
        <v>6</v>
      </c>
      <c r="H1" s="8"/>
    </row>
    <row r="2" spans="1:10" x14ac:dyDescent="0.3">
      <c r="A2" s="3" t="s">
        <v>7</v>
      </c>
      <c r="B2" s="3" t="s">
        <v>15</v>
      </c>
      <c r="C2" s="4">
        <v>2019</v>
      </c>
      <c r="D2" s="4" t="s">
        <v>18</v>
      </c>
      <c r="E2" s="4" t="s">
        <v>26</v>
      </c>
      <c r="F2" s="4">
        <v>652</v>
      </c>
      <c r="G2" s="4">
        <v>6024480</v>
      </c>
      <c r="H2" t="str">
        <f>IF(G2&gt;10000000,"Discount allowed","No Discount")</f>
        <v>No Discount</v>
      </c>
      <c r="I2">
        <f>MATCH("Rahul",E:E,1)</f>
        <v>351</v>
      </c>
      <c r="J2">
        <f>MATCH(9617994,G2:G385,0)</f>
        <v>6</v>
      </c>
    </row>
    <row r="3" spans="1:10" x14ac:dyDescent="0.3">
      <c r="A3" s="3" t="s">
        <v>8</v>
      </c>
      <c r="B3" s="3" t="s">
        <v>15</v>
      </c>
      <c r="C3" s="4">
        <v>2019</v>
      </c>
      <c r="D3" s="4" t="s">
        <v>18</v>
      </c>
      <c r="E3" s="4" t="s">
        <v>27</v>
      </c>
      <c r="F3" s="4">
        <v>1141</v>
      </c>
      <c r="G3" s="4">
        <v>10300948</v>
      </c>
      <c r="H3" t="str">
        <f t="shared" ref="H3:H66" si="0">IF(G3&gt;10000000,"Discount allowed","No Discount")</f>
        <v>Discount allowed</v>
      </c>
    </row>
    <row r="4" spans="1:10" x14ac:dyDescent="0.3">
      <c r="A4" s="3" t="s">
        <v>9</v>
      </c>
      <c r="B4" s="3" t="s">
        <v>15</v>
      </c>
      <c r="C4" s="4">
        <v>2019</v>
      </c>
      <c r="D4" s="4" t="s">
        <v>18</v>
      </c>
      <c r="E4" s="4" t="s">
        <v>28</v>
      </c>
      <c r="F4" s="4">
        <v>1694</v>
      </c>
      <c r="G4" s="4">
        <v>25191474</v>
      </c>
      <c r="H4" t="str">
        <f t="shared" si="0"/>
        <v>Discount allowed</v>
      </c>
    </row>
    <row r="5" spans="1:10" x14ac:dyDescent="0.3">
      <c r="A5" s="3" t="s">
        <v>10</v>
      </c>
      <c r="B5" s="3" t="s">
        <v>16</v>
      </c>
      <c r="C5" s="4">
        <v>2019</v>
      </c>
      <c r="D5" s="4" t="s">
        <v>18</v>
      </c>
      <c r="E5" s="4" t="s">
        <v>29</v>
      </c>
      <c r="F5" s="4">
        <v>1343</v>
      </c>
      <c r="G5" s="4">
        <v>47285687</v>
      </c>
      <c r="H5" t="str">
        <f t="shared" si="0"/>
        <v>Discount allowed</v>
      </c>
    </row>
    <row r="6" spans="1:10" x14ac:dyDescent="0.3">
      <c r="A6" s="3" t="s">
        <v>11</v>
      </c>
      <c r="B6" s="3" t="s">
        <v>17</v>
      </c>
      <c r="C6" s="4">
        <v>2019</v>
      </c>
      <c r="D6" s="4" t="s">
        <v>18</v>
      </c>
      <c r="E6" s="4" t="s">
        <v>30</v>
      </c>
      <c r="F6" s="4">
        <v>211</v>
      </c>
      <c r="G6" s="4">
        <v>10088121</v>
      </c>
      <c r="H6" t="str">
        <f t="shared" si="0"/>
        <v>Discount allowed</v>
      </c>
    </row>
    <row r="7" spans="1:10" x14ac:dyDescent="0.3">
      <c r="A7" s="3" t="s">
        <v>12</v>
      </c>
      <c r="B7" s="3" t="s">
        <v>15</v>
      </c>
      <c r="C7" s="4">
        <v>2019</v>
      </c>
      <c r="D7" s="4" t="s">
        <v>18</v>
      </c>
      <c r="E7" s="4" t="s">
        <v>31</v>
      </c>
      <c r="F7" s="4">
        <v>1286</v>
      </c>
      <c r="G7" s="4">
        <v>9617994</v>
      </c>
      <c r="H7" t="str">
        <f t="shared" si="0"/>
        <v>No Discount</v>
      </c>
    </row>
    <row r="8" spans="1:10" x14ac:dyDescent="0.3">
      <c r="A8" s="3" t="s">
        <v>13</v>
      </c>
      <c r="B8" s="3" t="s">
        <v>17</v>
      </c>
      <c r="C8" s="4">
        <v>2019</v>
      </c>
      <c r="D8" s="4" t="s">
        <v>18</v>
      </c>
      <c r="E8" s="4" t="s">
        <v>27</v>
      </c>
      <c r="F8" s="4">
        <v>697</v>
      </c>
      <c r="G8" s="4">
        <v>68993939</v>
      </c>
      <c r="H8" t="str">
        <f t="shared" si="0"/>
        <v>Discount allowed</v>
      </c>
    </row>
    <row r="9" spans="1:10" x14ac:dyDescent="0.3">
      <c r="A9" s="3" t="s">
        <v>14</v>
      </c>
      <c r="B9" s="3" t="s">
        <v>15</v>
      </c>
      <c r="C9" s="4">
        <v>2019</v>
      </c>
      <c r="D9" s="4" t="s">
        <v>18</v>
      </c>
      <c r="E9" s="4" t="s">
        <v>28</v>
      </c>
      <c r="F9" s="4">
        <v>105</v>
      </c>
      <c r="G9" s="4">
        <v>1090005</v>
      </c>
      <c r="H9" t="str">
        <f t="shared" si="0"/>
        <v>No Discount</v>
      </c>
    </row>
    <row r="10" spans="1:10" x14ac:dyDescent="0.3">
      <c r="A10" s="3" t="s">
        <v>7</v>
      </c>
      <c r="B10" s="3" t="s">
        <v>15</v>
      </c>
      <c r="C10" s="4">
        <v>2019</v>
      </c>
      <c r="D10" s="4" t="s">
        <v>19</v>
      </c>
      <c r="E10" s="4" t="s">
        <v>32</v>
      </c>
      <c r="F10" s="4">
        <v>592</v>
      </c>
      <c r="G10" s="4">
        <v>8844480</v>
      </c>
      <c r="H10" t="str">
        <f t="shared" si="0"/>
        <v>No Discount</v>
      </c>
    </row>
    <row r="11" spans="1:10" x14ac:dyDescent="0.3">
      <c r="A11" s="3" t="s">
        <v>8</v>
      </c>
      <c r="B11" s="3" t="s">
        <v>17</v>
      </c>
      <c r="C11" s="4">
        <v>2019</v>
      </c>
      <c r="D11" s="4" t="s">
        <v>19</v>
      </c>
      <c r="E11" s="4" t="s">
        <v>33</v>
      </c>
      <c r="F11" s="4">
        <v>1664</v>
      </c>
      <c r="G11" s="4">
        <v>67608320</v>
      </c>
      <c r="H11" t="str">
        <f t="shared" si="0"/>
        <v>Discount allowed</v>
      </c>
    </row>
    <row r="12" spans="1:10" x14ac:dyDescent="0.3">
      <c r="A12" s="3" t="s">
        <v>9</v>
      </c>
      <c r="B12" s="3" t="s">
        <v>16</v>
      </c>
      <c r="C12" s="4">
        <v>2019</v>
      </c>
      <c r="D12" s="4" t="s">
        <v>19</v>
      </c>
      <c r="E12" s="4" t="s">
        <v>31</v>
      </c>
      <c r="F12" s="4">
        <v>1897</v>
      </c>
      <c r="G12" s="4">
        <v>40658401</v>
      </c>
      <c r="H12" t="str">
        <f t="shared" si="0"/>
        <v>Discount allowed</v>
      </c>
    </row>
    <row r="13" spans="1:10" x14ac:dyDescent="0.3">
      <c r="A13" s="3" t="s">
        <v>10</v>
      </c>
      <c r="B13" s="3" t="s">
        <v>15</v>
      </c>
      <c r="C13" s="4">
        <v>2019</v>
      </c>
      <c r="D13" s="4" t="s">
        <v>19</v>
      </c>
      <c r="E13" s="4" t="s">
        <v>34</v>
      </c>
      <c r="F13" s="4">
        <v>1319</v>
      </c>
      <c r="G13" s="4">
        <v>19274547</v>
      </c>
      <c r="H13" t="str">
        <f t="shared" si="0"/>
        <v>Discount allowed</v>
      </c>
    </row>
    <row r="14" spans="1:10" x14ac:dyDescent="0.3">
      <c r="A14" s="3" t="s">
        <v>11</v>
      </c>
      <c r="B14" s="3" t="s">
        <v>15</v>
      </c>
      <c r="C14" s="4">
        <v>2019</v>
      </c>
      <c r="D14" s="4" t="s">
        <v>19</v>
      </c>
      <c r="E14" s="4" t="s">
        <v>32</v>
      </c>
      <c r="F14" s="4">
        <v>1700</v>
      </c>
      <c r="G14" s="4">
        <v>24058400</v>
      </c>
      <c r="H14" t="str">
        <f t="shared" si="0"/>
        <v>Discount allowed</v>
      </c>
    </row>
    <row r="15" spans="1:10" x14ac:dyDescent="0.3">
      <c r="A15" s="3" t="s">
        <v>12</v>
      </c>
      <c r="B15" s="3" t="s">
        <v>17</v>
      </c>
      <c r="C15" s="4">
        <v>2019</v>
      </c>
      <c r="D15" s="4" t="s">
        <v>19</v>
      </c>
      <c r="E15" s="4" t="s">
        <v>35</v>
      </c>
      <c r="F15" s="4">
        <v>210</v>
      </c>
      <c r="G15" s="4">
        <v>22472100</v>
      </c>
      <c r="H15" t="str">
        <f t="shared" si="0"/>
        <v>Discount allowed</v>
      </c>
    </row>
    <row r="16" spans="1:10" x14ac:dyDescent="0.3">
      <c r="A16" s="3" t="s">
        <v>13</v>
      </c>
      <c r="B16" s="3" t="s">
        <v>16</v>
      </c>
      <c r="C16" s="4">
        <v>2019</v>
      </c>
      <c r="D16" s="4" t="s">
        <v>19</v>
      </c>
      <c r="E16" s="4" t="s">
        <v>28</v>
      </c>
      <c r="F16" s="4">
        <v>1994</v>
      </c>
      <c r="G16" s="4">
        <v>61772126</v>
      </c>
      <c r="H16" t="str">
        <f t="shared" si="0"/>
        <v>Discount allowed</v>
      </c>
    </row>
    <row r="17" spans="1:8" x14ac:dyDescent="0.3">
      <c r="A17" s="3" t="s">
        <v>14</v>
      </c>
      <c r="B17" s="3" t="s">
        <v>16</v>
      </c>
      <c r="C17" s="4">
        <v>2019</v>
      </c>
      <c r="D17" s="4" t="s">
        <v>19</v>
      </c>
      <c r="E17" s="4" t="s">
        <v>30</v>
      </c>
      <c r="F17" s="4">
        <v>114</v>
      </c>
      <c r="G17" s="4">
        <v>3001050</v>
      </c>
      <c r="H17" t="str">
        <f t="shared" si="0"/>
        <v>No Discount</v>
      </c>
    </row>
    <row r="18" spans="1:8" x14ac:dyDescent="0.3">
      <c r="A18" s="3" t="s">
        <v>7</v>
      </c>
      <c r="B18" s="3" t="s">
        <v>16</v>
      </c>
      <c r="C18" s="4">
        <v>2019</v>
      </c>
      <c r="D18" s="4" t="s">
        <v>20</v>
      </c>
      <c r="E18" s="4" t="s">
        <v>32</v>
      </c>
      <c r="F18" s="4">
        <v>228</v>
      </c>
      <c r="G18" s="4">
        <v>7709364</v>
      </c>
      <c r="H18" t="str">
        <f t="shared" si="0"/>
        <v>No Discount</v>
      </c>
    </row>
    <row r="19" spans="1:8" x14ac:dyDescent="0.3">
      <c r="A19" s="3" t="s">
        <v>8</v>
      </c>
      <c r="B19" s="3" t="s">
        <v>15</v>
      </c>
      <c r="C19" s="4">
        <v>2019</v>
      </c>
      <c r="D19" s="4" t="s">
        <v>20</v>
      </c>
      <c r="E19" s="4" t="s">
        <v>33</v>
      </c>
      <c r="F19" s="4">
        <v>1150</v>
      </c>
      <c r="G19" s="4">
        <v>12063500</v>
      </c>
      <c r="H19" t="str">
        <f t="shared" si="0"/>
        <v>Discount allowed</v>
      </c>
    </row>
    <row r="20" spans="1:8" x14ac:dyDescent="0.3">
      <c r="A20" s="3" t="s">
        <v>9</v>
      </c>
      <c r="B20" s="3" t="s">
        <v>17</v>
      </c>
      <c r="C20" s="4">
        <v>2019</v>
      </c>
      <c r="D20" s="4" t="s">
        <v>20</v>
      </c>
      <c r="E20" s="4" t="s">
        <v>30</v>
      </c>
      <c r="F20" s="4">
        <v>1493</v>
      </c>
      <c r="G20" s="4">
        <v>73613858</v>
      </c>
      <c r="H20" t="str">
        <f t="shared" si="0"/>
        <v>Discount allowed</v>
      </c>
    </row>
    <row r="21" spans="1:8" x14ac:dyDescent="0.3">
      <c r="A21" s="3" t="s">
        <v>10</v>
      </c>
      <c r="B21" s="3" t="s">
        <v>15</v>
      </c>
      <c r="C21" s="4">
        <v>2019</v>
      </c>
      <c r="D21" s="4" t="s">
        <v>20</v>
      </c>
      <c r="E21" s="4" t="s">
        <v>28</v>
      </c>
      <c r="F21" s="4">
        <v>1981</v>
      </c>
      <c r="G21" s="4">
        <v>20103188</v>
      </c>
      <c r="H21" t="str">
        <f t="shared" si="0"/>
        <v>Discount allowed</v>
      </c>
    </row>
    <row r="22" spans="1:8" x14ac:dyDescent="0.3">
      <c r="A22" s="3" t="s">
        <v>11</v>
      </c>
      <c r="B22" s="3" t="s">
        <v>16</v>
      </c>
      <c r="C22" s="4">
        <v>2019</v>
      </c>
      <c r="D22" s="4" t="s">
        <v>20</v>
      </c>
      <c r="E22" s="4" t="s">
        <v>26</v>
      </c>
      <c r="F22" s="4">
        <v>139</v>
      </c>
      <c r="G22" s="4">
        <v>2450431</v>
      </c>
      <c r="H22" t="str">
        <f t="shared" si="0"/>
        <v>No Discount</v>
      </c>
    </row>
    <row r="23" spans="1:8" x14ac:dyDescent="0.3">
      <c r="A23" s="3" t="s">
        <v>12</v>
      </c>
      <c r="B23" s="3" t="s">
        <v>17</v>
      </c>
      <c r="C23" s="4">
        <v>2019</v>
      </c>
      <c r="D23" s="4" t="s">
        <v>20</v>
      </c>
      <c r="E23" s="4" t="s">
        <v>26</v>
      </c>
      <c r="F23" s="4">
        <v>217</v>
      </c>
      <c r="G23" s="4">
        <v>23566851</v>
      </c>
      <c r="H23" t="str">
        <f t="shared" si="0"/>
        <v>Discount allowed</v>
      </c>
    </row>
    <row r="24" spans="1:8" x14ac:dyDescent="0.3">
      <c r="A24" s="3" t="s">
        <v>13</v>
      </c>
      <c r="B24" s="3" t="s">
        <v>15</v>
      </c>
      <c r="C24" s="4">
        <v>2019</v>
      </c>
      <c r="D24" s="4" t="s">
        <v>20</v>
      </c>
      <c r="E24" s="4" t="s">
        <v>30</v>
      </c>
      <c r="F24" s="4">
        <v>1304</v>
      </c>
      <c r="G24" s="4">
        <v>18729352</v>
      </c>
      <c r="H24" t="str">
        <f t="shared" si="0"/>
        <v>Discount allowed</v>
      </c>
    </row>
    <row r="25" spans="1:8" x14ac:dyDescent="0.3">
      <c r="A25" s="3" t="s">
        <v>14</v>
      </c>
      <c r="B25" s="3" t="s">
        <v>16</v>
      </c>
      <c r="C25" s="4">
        <v>2019</v>
      </c>
      <c r="D25" s="4" t="s">
        <v>20</v>
      </c>
      <c r="E25" s="4" t="s">
        <v>26</v>
      </c>
      <c r="F25" s="4">
        <v>1150</v>
      </c>
      <c r="G25" s="4">
        <v>43425150</v>
      </c>
      <c r="H25" t="str">
        <f t="shared" si="0"/>
        <v>Discount allowed</v>
      </c>
    </row>
    <row r="26" spans="1:8" x14ac:dyDescent="0.3">
      <c r="A26" s="3" t="s">
        <v>7</v>
      </c>
      <c r="B26" s="3" t="s">
        <v>16</v>
      </c>
      <c r="C26" s="4">
        <v>2019</v>
      </c>
      <c r="D26" s="4" t="s">
        <v>21</v>
      </c>
      <c r="E26" s="4" t="s">
        <v>29</v>
      </c>
      <c r="F26" s="4">
        <v>1491</v>
      </c>
      <c r="G26" s="4">
        <v>33906831</v>
      </c>
      <c r="H26" t="str">
        <f t="shared" si="0"/>
        <v>Discount allowed</v>
      </c>
    </row>
    <row r="27" spans="1:8" x14ac:dyDescent="0.3">
      <c r="A27" s="3" t="s">
        <v>8</v>
      </c>
      <c r="B27" s="3" t="s">
        <v>17</v>
      </c>
      <c r="C27" s="4">
        <v>2019</v>
      </c>
      <c r="D27" s="4" t="s">
        <v>21</v>
      </c>
      <c r="E27" s="4" t="s">
        <v>34</v>
      </c>
      <c r="F27" s="4">
        <v>1987</v>
      </c>
      <c r="G27" s="4">
        <v>170391211</v>
      </c>
      <c r="H27" t="str">
        <f t="shared" si="0"/>
        <v>Discount allowed</v>
      </c>
    </row>
    <row r="28" spans="1:8" x14ac:dyDescent="0.3">
      <c r="A28" s="3" t="s">
        <v>9</v>
      </c>
      <c r="B28" s="3" t="s">
        <v>17</v>
      </c>
      <c r="C28" s="4">
        <v>2019</v>
      </c>
      <c r="D28" s="4" t="s">
        <v>21</v>
      </c>
      <c r="E28" s="4" t="s">
        <v>30</v>
      </c>
      <c r="F28" s="4">
        <v>1714</v>
      </c>
      <c r="G28" s="4">
        <v>119277260</v>
      </c>
      <c r="H28" t="str">
        <f t="shared" si="0"/>
        <v>Discount allowed</v>
      </c>
    </row>
    <row r="29" spans="1:8" x14ac:dyDescent="0.3">
      <c r="A29" s="3" t="s">
        <v>10</v>
      </c>
      <c r="B29" s="3" t="s">
        <v>17</v>
      </c>
      <c r="C29" s="4">
        <v>2019</v>
      </c>
      <c r="D29" s="4" t="s">
        <v>21</v>
      </c>
      <c r="E29" s="4" t="s">
        <v>26</v>
      </c>
      <c r="F29" s="4">
        <v>456</v>
      </c>
      <c r="G29" s="4">
        <v>33237840</v>
      </c>
      <c r="H29" t="str">
        <f t="shared" si="0"/>
        <v>Discount allowed</v>
      </c>
    </row>
    <row r="30" spans="1:8" x14ac:dyDescent="0.3">
      <c r="A30" s="3" t="s">
        <v>11</v>
      </c>
      <c r="B30" s="3" t="s">
        <v>17</v>
      </c>
      <c r="C30" s="4">
        <v>2019</v>
      </c>
      <c r="D30" s="4" t="s">
        <v>21</v>
      </c>
      <c r="E30" s="4" t="s">
        <v>30</v>
      </c>
      <c r="F30" s="4">
        <v>1698</v>
      </c>
      <c r="G30" s="4">
        <v>87032688</v>
      </c>
      <c r="H30" t="str">
        <f t="shared" si="0"/>
        <v>Discount allowed</v>
      </c>
    </row>
    <row r="31" spans="1:8" x14ac:dyDescent="0.3">
      <c r="A31" s="3" t="s">
        <v>12</v>
      </c>
      <c r="B31" s="3" t="s">
        <v>17</v>
      </c>
      <c r="C31" s="4">
        <v>2019</v>
      </c>
      <c r="D31" s="4" t="s">
        <v>21</v>
      </c>
      <c r="E31" s="4" t="s">
        <v>29</v>
      </c>
      <c r="F31" s="4">
        <v>766</v>
      </c>
      <c r="G31" s="4">
        <v>63872144</v>
      </c>
      <c r="H31" t="str">
        <f t="shared" si="0"/>
        <v>Discount allowed</v>
      </c>
    </row>
    <row r="32" spans="1:8" x14ac:dyDescent="0.3">
      <c r="A32" s="3" t="s">
        <v>13</v>
      </c>
      <c r="B32" s="3" t="s">
        <v>15</v>
      </c>
      <c r="C32" s="4">
        <v>2019</v>
      </c>
      <c r="D32" s="4" t="s">
        <v>21</v>
      </c>
      <c r="E32" s="4" t="s">
        <v>32</v>
      </c>
      <c r="F32" s="4">
        <v>695</v>
      </c>
      <c r="G32" s="4">
        <v>9942670</v>
      </c>
      <c r="H32" t="str">
        <f t="shared" si="0"/>
        <v>No Discount</v>
      </c>
    </row>
    <row r="33" spans="1:8" x14ac:dyDescent="0.3">
      <c r="A33" s="3" t="s">
        <v>14</v>
      </c>
      <c r="B33" s="3" t="s">
        <v>15</v>
      </c>
      <c r="C33" s="4">
        <v>2019</v>
      </c>
      <c r="D33" s="4" t="s">
        <v>21</v>
      </c>
      <c r="E33" s="4" t="s">
        <v>26</v>
      </c>
      <c r="F33" s="4">
        <v>1910</v>
      </c>
      <c r="G33" s="4">
        <v>26103970</v>
      </c>
      <c r="H33" t="str">
        <f t="shared" si="0"/>
        <v>Discount allowed</v>
      </c>
    </row>
    <row r="34" spans="1:8" x14ac:dyDescent="0.3">
      <c r="A34" s="3" t="s">
        <v>7</v>
      </c>
      <c r="B34" s="3" t="s">
        <v>16</v>
      </c>
      <c r="C34" s="4">
        <v>2019</v>
      </c>
      <c r="D34" s="4" t="s">
        <v>22</v>
      </c>
      <c r="E34" s="4" t="s">
        <v>33</v>
      </c>
      <c r="F34" s="4">
        <v>312</v>
      </c>
      <c r="G34" s="4">
        <v>4941768</v>
      </c>
      <c r="H34" t="str">
        <f t="shared" si="0"/>
        <v>No Discount</v>
      </c>
    </row>
    <row r="35" spans="1:8" x14ac:dyDescent="0.3">
      <c r="A35" s="3" t="s">
        <v>8</v>
      </c>
      <c r="B35" s="3" t="s">
        <v>15</v>
      </c>
      <c r="C35" s="4">
        <v>2019</v>
      </c>
      <c r="D35" s="4" t="s">
        <v>22</v>
      </c>
      <c r="E35" s="4" t="s">
        <v>27</v>
      </c>
      <c r="F35" s="4">
        <v>938</v>
      </c>
      <c r="G35" s="4">
        <v>8255338</v>
      </c>
      <c r="H35" t="str">
        <f t="shared" si="0"/>
        <v>No Discount</v>
      </c>
    </row>
    <row r="36" spans="1:8" x14ac:dyDescent="0.3">
      <c r="A36" s="3" t="s">
        <v>9</v>
      </c>
      <c r="B36" s="3" t="s">
        <v>17</v>
      </c>
      <c r="C36" s="4">
        <v>2019</v>
      </c>
      <c r="D36" s="4" t="s">
        <v>22</v>
      </c>
      <c r="E36" s="4" t="s">
        <v>33</v>
      </c>
      <c r="F36" s="4">
        <v>1349</v>
      </c>
      <c r="G36" s="4">
        <v>124661090</v>
      </c>
      <c r="H36" t="str">
        <f t="shared" si="0"/>
        <v>Discount allowed</v>
      </c>
    </row>
    <row r="37" spans="1:8" x14ac:dyDescent="0.3">
      <c r="A37" s="3" t="s">
        <v>10</v>
      </c>
      <c r="B37" s="3" t="s">
        <v>16</v>
      </c>
      <c r="C37" s="4">
        <v>2019</v>
      </c>
      <c r="D37" s="4" t="s">
        <v>22</v>
      </c>
      <c r="E37" s="4" t="s">
        <v>32</v>
      </c>
      <c r="F37" s="4">
        <v>354</v>
      </c>
      <c r="G37" s="4">
        <v>6921054</v>
      </c>
      <c r="H37" t="str">
        <f t="shared" si="0"/>
        <v>No Discount</v>
      </c>
    </row>
    <row r="38" spans="1:8" x14ac:dyDescent="0.3">
      <c r="A38" s="3" t="s">
        <v>11</v>
      </c>
      <c r="B38" s="3" t="s">
        <v>17</v>
      </c>
      <c r="C38" s="4">
        <v>2019</v>
      </c>
      <c r="D38" s="4" t="s">
        <v>22</v>
      </c>
      <c r="E38" s="4" t="s">
        <v>35</v>
      </c>
      <c r="F38" s="4">
        <v>706</v>
      </c>
      <c r="G38" s="4">
        <v>34831922</v>
      </c>
      <c r="H38" t="str">
        <f t="shared" si="0"/>
        <v>Discount allowed</v>
      </c>
    </row>
    <row r="39" spans="1:8" x14ac:dyDescent="0.3">
      <c r="A39" s="3" t="s">
        <v>12</v>
      </c>
      <c r="B39" s="3" t="s">
        <v>16</v>
      </c>
      <c r="C39" s="4">
        <v>2019</v>
      </c>
      <c r="D39" s="4" t="s">
        <v>22</v>
      </c>
      <c r="E39" s="4" t="s">
        <v>34</v>
      </c>
      <c r="F39" s="4">
        <v>680</v>
      </c>
      <c r="G39" s="4">
        <v>19346000</v>
      </c>
      <c r="H39" t="str">
        <f t="shared" si="0"/>
        <v>Discount allowed</v>
      </c>
    </row>
    <row r="40" spans="1:8" x14ac:dyDescent="0.3">
      <c r="A40" s="3" t="s">
        <v>13</v>
      </c>
      <c r="B40" s="3" t="s">
        <v>16</v>
      </c>
      <c r="C40" s="4">
        <v>2019</v>
      </c>
      <c r="D40" s="4" t="s">
        <v>22</v>
      </c>
      <c r="E40" s="4" t="s">
        <v>34</v>
      </c>
      <c r="F40" s="4">
        <v>415</v>
      </c>
      <c r="G40" s="4">
        <v>15588645</v>
      </c>
      <c r="H40" t="str">
        <f t="shared" si="0"/>
        <v>Discount allowed</v>
      </c>
    </row>
    <row r="41" spans="1:8" x14ac:dyDescent="0.3">
      <c r="A41" s="3" t="s">
        <v>14</v>
      </c>
      <c r="B41" s="3" t="s">
        <v>17</v>
      </c>
      <c r="C41" s="4">
        <v>2019</v>
      </c>
      <c r="D41" s="4" t="s">
        <v>22</v>
      </c>
      <c r="E41" s="4" t="s">
        <v>33</v>
      </c>
      <c r="F41" s="4">
        <v>726</v>
      </c>
      <c r="G41" s="4">
        <v>31884468</v>
      </c>
      <c r="H41" t="str">
        <f t="shared" si="0"/>
        <v>Discount allowed</v>
      </c>
    </row>
    <row r="42" spans="1:8" x14ac:dyDescent="0.3">
      <c r="A42" s="3" t="s">
        <v>7</v>
      </c>
      <c r="B42" s="3" t="s">
        <v>17</v>
      </c>
      <c r="C42" s="4">
        <v>2019</v>
      </c>
      <c r="D42" s="4" t="s">
        <v>23</v>
      </c>
      <c r="E42" s="4" t="s">
        <v>32</v>
      </c>
      <c r="F42" s="4">
        <v>1544</v>
      </c>
      <c r="G42" s="4">
        <v>123994008</v>
      </c>
      <c r="H42" t="str">
        <f t="shared" si="0"/>
        <v>Discount allowed</v>
      </c>
    </row>
    <row r="43" spans="1:8" x14ac:dyDescent="0.3">
      <c r="A43" s="3" t="s">
        <v>8</v>
      </c>
      <c r="B43" s="3" t="s">
        <v>15</v>
      </c>
      <c r="C43" s="4">
        <v>2019</v>
      </c>
      <c r="D43" s="4" t="s">
        <v>23</v>
      </c>
      <c r="E43" s="4" t="s">
        <v>32</v>
      </c>
      <c r="F43" s="4">
        <v>1864</v>
      </c>
      <c r="G43" s="4">
        <v>26938528</v>
      </c>
      <c r="H43" t="str">
        <f t="shared" si="0"/>
        <v>Discount allowed</v>
      </c>
    </row>
    <row r="44" spans="1:8" x14ac:dyDescent="0.3">
      <c r="A44" s="3" t="s">
        <v>9</v>
      </c>
      <c r="B44" s="3" t="s">
        <v>16</v>
      </c>
      <c r="C44" s="4">
        <v>2019</v>
      </c>
      <c r="D44" s="4" t="s">
        <v>23</v>
      </c>
      <c r="E44" s="4" t="s">
        <v>32</v>
      </c>
      <c r="F44" s="4">
        <v>1367</v>
      </c>
      <c r="G44" s="4">
        <v>46685784</v>
      </c>
      <c r="H44" t="str">
        <f t="shared" si="0"/>
        <v>Discount allowed</v>
      </c>
    </row>
    <row r="45" spans="1:8" x14ac:dyDescent="0.3">
      <c r="A45" s="3" t="s">
        <v>10</v>
      </c>
      <c r="B45" s="3" t="s">
        <v>16</v>
      </c>
      <c r="C45" s="4">
        <v>2019</v>
      </c>
      <c r="D45" s="4" t="s">
        <v>23</v>
      </c>
      <c r="E45" s="4" t="s">
        <v>31</v>
      </c>
      <c r="F45" s="4">
        <v>466</v>
      </c>
      <c r="G45" s="4">
        <v>15615194</v>
      </c>
      <c r="H45" t="str">
        <f t="shared" si="0"/>
        <v>Discount allowed</v>
      </c>
    </row>
    <row r="46" spans="1:8" x14ac:dyDescent="0.3">
      <c r="A46" s="3" t="s">
        <v>11</v>
      </c>
      <c r="B46" s="3" t="s">
        <v>17</v>
      </c>
      <c r="C46" s="4">
        <v>2019</v>
      </c>
      <c r="D46" s="4" t="s">
        <v>23</v>
      </c>
      <c r="E46" s="4" t="s">
        <v>31</v>
      </c>
      <c r="F46" s="4">
        <v>1221</v>
      </c>
      <c r="G46" s="4">
        <v>146060904</v>
      </c>
      <c r="H46" t="str">
        <f t="shared" si="0"/>
        <v>Discount allowed</v>
      </c>
    </row>
    <row r="47" spans="1:8" x14ac:dyDescent="0.3">
      <c r="A47" s="3" t="s">
        <v>12</v>
      </c>
      <c r="B47" s="3" t="s">
        <v>16</v>
      </c>
      <c r="C47" s="4">
        <v>2019</v>
      </c>
      <c r="D47" s="4" t="s">
        <v>23</v>
      </c>
      <c r="E47" s="4" t="s">
        <v>31</v>
      </c>
      <c r="F47" s="4">
        <v>356</v>
      </c>
      <c r="G47" s="4">
        <v>7662900</v>
      </c>
      <c r="H47" t="str">
        <f t="shared" si="0"/>
        <v>No Discount</v>
      </c>
    </row>
    <row r="48" spans="1:8" x14ac:dyDescent="0.3">
      <c r="A48" s="3" t="s">
        <v>13</v>
      </c>
      <c r="B48" s="3" t="s">
        <v>16</v>
      </c>
      <c r="C48" s="4">
        <v>2019</v>
      </c>
      <c r="D48" s="4" t="s">
        <v>23</v>
      </c>
      <c r="E48" s="4" t="s">
        <v>29</v>
      </c>
      <c r="F48" s="4">
        <v>1515</v>
      </c>
      <c r="G48" s="4">
        <v>22911345</v>
      </c>
      <c r="H48" t="str">
        <f t="shared" si="0"/>
        <v>Discount allowed</v>
      </c>
    </row>
    <row r="49" spans="1:8" x14ac:dyDescent="0.3">
      <c r="A49" s="3" t="s">
        <v>14</v>
      </c>
      <c r="B49" s="3" t="s">
        <v>16</v>
      </c>
      <c r="C49" s="4">
        <v>2019</v>
      </c>
      <c r="D49" s="4" t="s">
        <v>23</v>
      </c>
      <c r="E49" s="4" t="s">
        <v>35</v>
      </c>
      <c r="F49" s="4">
        <v>1788</v>
      </c>
      <c r="G49" s="4">
        <v>48563868</v>
      </c>
      <c r="H49" t="str">
        <f t="shared" si="0"/>
        <v>Discount allowed</v>
      </c>
    </row>
    <row r="50" spans="1:8" x14ac:dyDescent="0.3">
      <c r="A50" s="3" t="s">
        <v>7</v>
      </c>
      <c r="B50" s="3" t="s">
        <v>15</v>
      </c>
      <c r="C50" s="4">
        <v>2019</v>
      </c>
      <c r="D50" s="4" t="s">
        <v>24</v>
      </c>
      <c r="E50" s="4" t="s">
        <v>33</v>
      </c>
      <c r="F50" s="4">
        <v>726</v>
      </c>
      <c r="G50" s="4">
        <v>9416946</v>
      </c>
      <c r="H50" t="str">
        <f t="shared" si="0"/>
        <v>No Discount</v>
      </c>
    </row>
    <row r="51" spans="1:8" x14ac:dyDescent="0.3">
      <c r="A51" s="3" t="s">
        <v>8</v>
      </c>
      <c r="B51" s="3" t="s">
        <v>16</v>
      </c>
      <c r="C51" s="4">
        <v>2019</v>
      </c>
      <c r="D51" s="4" t="s">
        <v>24</v>
      </c>
      <c r="E51" s="4" t="s">
        <v>29</v>
      </c>
      <c r="F51" s="4">
        <v>1493</v>
      </c>
      <c r="G51" s="4">
        <v>45839579</v>
      </c>
      <c r="H51" t="str">
        <f t="shared" si="0"/>
        <v>Discount allowed</v>
      </c>
    </row>
    <row r="52" spans="1:8" x14ac:dyDescent="0.3">
      <c r="A52" s="3" t="s">
        <v>9</v>
      </c>
      <c r="B52" s="3" t="s">
        <v>17</v>
      </c>
      <c r="C52" s="4">
        <v>2019</v>
      </c>
      <c r="D52" s="4" t="s">
        <v>24</v>
      </c>
      <c r="E52" s="4" t="s">
        <v>28</v>
      </c>
      <c r="F52" s="4">
        <v>385</v>
      </c>
      <c r="G52" s="4">
        <v>38407600</v>
      </c>
      <c r="H52" t="str">
        <f t="shared" si="0"/>
        <v>Discount allowed</v>
      </c>
    </row>
    <row r="53" spans="1:8" x14ac:dyDescent="0.3">
      <c r="A53" s="3" t="s">
        <v>10</v>
      </c>
      <c r="B53" s="3" t="s">
        <v>16</v>
      </c>
      <c r="C53" s="4">
        <v>2019</v>
      </c>
      <c r="D53" s="4" t="s">
        <v>24</v>
      </c>
      <c r="E53" s="4" t="s">
        <v>29</v>
      </c>
      <c r="F53" s="4">
        <v>785</v>
      </c>
      <c r="G53" s="4">
        <v>31194330</v>
      </c>
      <c r="H53" t="str">
        <f t="shared" si="0"/>
        <v>Discount allowed</v>
      </c>
    </row>
    <row r="54" spans="1:8" x14ac:dyDescent="0.3">
      <c r="A54" s="3" t="s">
        <v>11</v>
      </c>
      <c r="B54" s="3" t="s">
        <v>16</v>
      </c>
      <c r="C54" s="4">
        <v>2019</v>
      </c>
      <c r="D54" s="4" t="s">
        <v>24</v>
      </c>
      <c r="E54" s="4" t="s">
        <v>32</v>
      </c>
      <c r="F54" s="4">
        <v>1255</v>
      </c>
      <c r="G54" s="4">
        <v>29414690</v>
      </c>
      <c r="H54" t="str">
        <f t="shared" si="0"/>
        <v>Discount allowed</v>
      </c>
    </row>
    <row r="55" spans="1:8" x14ac:dyDescent="0.3">
      <c r="A55" s="3" t="s">
        <v>12</v>
      </c>
      <c r="B55" s="3" t="s">
        <v>15</v>
      </c>
      <c r="C55" s="4">
        <v>2019</v>
      </c>
      <c r="D55" s="4" t="s">
        <v>24</v>
      </c>
      <c r="E55" s="4" t="s">
        <v>34</v>
      </c>
      <c r="F55" s="4">
        <v>1280</v>
      </c>
      <c r="G55" s="4">
        <v>17612800</v>
      </c>
      <c r="H55" t="str">
        <f t="shared" si="0"/>
        <v>Discount allowed</v>
      </c>
    </row>
    <row r="56" spans="1:8" x14ac:dyDescent="0.3">
      <c r="A56" s="3" t="s">
        <v>13</v>
      </c>
      <c r="B56" s="3" t="s">
        <v>16</v>
      </c>
      <c r="C56" s="4">
        <v>2019</v>
      </c>
      <c r="D56" s="4" t="s">
        <v>24</v>
      </c>
      <c r="E56" s="4" t="s">
        <v>30</v>
      </c>
      <c r="F56" s="4">
        <v>1475</v>
      </c>
      <c r="G56" s="4">
        <v>35218575</v>
      </c>
      <c r="H56" t="str">
        <f t="shared" si="0"/>
        <v>Discount allowed</v>
      </c>
    </row>
    <row r="57" spans="1:8" x14ac:dyDescent="0.3">
      <c r="A57" s="3" t="s">
        <v>14</v>
      </c>
      <c r="B57" s="3" t="s">
        <v>15</v>
      </c>
      <c r="C57" s="4">
        <v>2019</v>
      </c>
      <c r="D57" s="4" t="s">
        <v>24</v>
      </c>
      <c r="E57" s="4" t="s">
        <v>35</v>
      </c>
      <c r="F57" s="4">
        <v>574</v>
      </c>
      <c r="G57" s="4">
        <v>4486958</v>
      </c>
      <c r="H57" t="str">
        <f t="shared" si="0"/>
        <v>No Discount</v>
      </c>
    </row>
    <row r="58" spans="1:8" x14ac:dyDescent="0.3">
      <c r="A58" s="3" t="s">
        <v>7</v>
      </c>
      <c r="B58" s="3" t="s">
        <v>17</v>
      </c>
      <c r="C58" s="4">
        <v>2019</v>
      </c>
      <c r="D58" s="4" t="s">
        <v>25</v>
      </c>
      <c r="E58" s="4" t="s">
        <v>29</v>
      </c>
      <c r="F58" s="4">
        <v>1255</v>
      </c>
      <c r="G58" s="4">
        <v>58553280</v>
      </c>
      <c r="H58" t="str">
        <f t="shared" si="0"/>
        <v>Discount allowed</v>
      </c>
    </row>
    <row r="59" spans="1:8" x14ac:dyDescent="0.3">
      <c r="A59" s="3" t="s">
        <v>8</v>
      </c>
      <c r="B59" s="3" t="s">
        <v>16</v>
      </c>
      <c r="C59" s="4">
        <v>2019</v>
      </c>
      <c r="D59" s="4" t="s">
        <v>25</v>
      </c>
      <c r="E59" s="4" t="s">
        <v>34</v>
      </c>
      <c r="F59" s="4">
        <v>904</v>
      </c>
      <c r="G59" s="4">
        <v>30829112</v>
      </c>
      <c r="H59" t="str">
        <f t="shared" si="0"/>
        <v>Discount allowed</v>
      </c>
    </row>
    <row r="60" spans="1:8" x14ac:dyDescent="0.3">
      <c r="A60" s="3" t="s">
        <v>9</v>
      </c>
      <c r="B60" s="3" t="s">
        <v>17</v>
      </c>
      <c r="C60" s="4">
        <v>2019</v>
      </c>
      <c r="D60" s="4" t="s">
        <v>25</v>
      </c>
      <c r="E60" s="4" t="s">
        <v>26</v>
      </c>
      <c r="F60" s="4">
        <v>1536</v>
      </c>
      <c r="G60" s="4">
        <v>175934976</v>
      </c>
      <c r="H60" t="str">
        <f t="shared" si="0"/>
        <v>Discount allowed</v>
      </c>
    </row>
    <row r="61" spans="1:8" x14ac:dyDescent="0.3">
      <c r="A61" s="3" t="s">
        <v>10</v>
      </c>
      <c r="B61" s="3" t="s">
        <v>16</v>
      </c>
      <c r="C61" s="4">
        <v>2019</v>
      </c>
      <c r="D61" s="4" t="s">
        <v>25</v>
      </c>
      <c r="E61" s="4" t="s">
        <v>26</v>
      </c>
      <c r="F61" s="4">
        <v>691</v>
      </c>
      <c r="G61" s="4">
        <v>18212687</v>
      </c>
      <c r="H61" t="str">
        <f t="shared" si="0"/>
        <v>Discount allowed</v>
      </c>
    </row>
    <row r="62" spans="1:8" x14ac:dyDescent="0.3">
      <c r="A62" s="3" t="s">
        <v>11</v>
      </c>
      <c r="B62" s="3" t="s">
        <v>17</v>
      </c>
      <c r="C62" s="4">
        <v>2019</v>
      </c>
      <c r="D62" s="4" t="s">
        <v>25</v>
      </c>
      <c r="E62" s="4" t="s">
        <v>29</v>
      </c>
      <c r="F62" s="4">
        <v>1280</v>
      </c>
      <c r="G62" s="4">
        <v>70278400</v>
      </c>
      <c r="H62" t="str">
        <f t="shared" si="0"/>
        <v>Discount allowed</v>
      </c>
    </row>
    <row r="63" spans="1:8" x14ac:dyDescent="0.3">
      <c r="A63" s="3" t="s">
        <v>12</v>
      </c>
      <c r="B63" s="3" t="s">
        <v>16</v>
      </c>
      <c r="C63" s="4">
        <v>2019</v>
      </c>
      <c r="D63" s="4" t="s">
        <v>25</v>
      </c>
      <c r="E63" s="4" t="s">
        <v>35</v>
      </c>
      <c r="F63" s="4">
        <v>704</v>
      </c>
      <c r="G63" s="4">
        <v>26932224</v>
      </c>
      <c r="H63" t="str">
        <f t="shared" si="0"/>
        <v>Discount allowed</v>
      </c>
    </row>
    <row r="64" spans="1:8" x14ac:dyDescent="0.3">
      <c r="A64" s="3" t="s">
        <v>13</v>
      </c>
      <c r="B64" s="3" t="s">
        <v>15</v>
      </c>
      <c r="C64" s="4">
        <v>2019</v>
      </c>
      <c r="D64" s="4" t="s">
        <v>25</v>
      </c>
      <c r="E64" s="4" t="s">
        <v>32</v>
      </c>
      <c r="F64" s="4">
        <v>1141</v>
      </c>
      <c r="G64" s="4">
        <v>12064934</v>
      </c>
      <c r="H64" t="str">
        <f t="shared" si="0"/>
        <v>Discount allowed</v>
      </c>
    </row>
    <row r="65" spans="1:8" x14ac:dyDescent="0.3">
      <c r="A65" s="3" t="s">
        <v>14</v>
      </c>
      <c r="B65" s="3" t="s">
        <v>17</v>
      </c>
      <c r="C65" s="4">
        <v>2019</v>
      </c>
      <c r="D65" s="4" t="s">
        <v>25</v>
      </c>
      <c r="E65" s="4" t="s">
        <v>34</v>
      </c>
      <c r="F65" s="4">
        <v>881</v>
      </c>
      <c r="G65" s="4">
        <v>46871843</v>
      </c>
      <c r="H65" t="str">
        <f t="shared" si="0"/>
        <v>Discount allowed</v>
      </c>
    </row>
    <row r="66" spans="1:8" x14ac:dyDescent="0.3">
      <c r="A66" s="3" t="s">
        <v>7</v>
      </c>
      <c r="B66" s="3" t="s">
        <v>15</v>
      </c>
      <c r="C66" s="4">
        <v>2020</v>
      </c>
      <c r="D66" s="4" t="s">
        <v>18</v>
      </c>
      <c r="E66" s="4" t="s">
        <v>30</v>
      </c>
      <c r="F66" s="4">
        <v>199</v>
      </c>
      <c r="G66" s="4">
        <v>2215268</v>
      </c>
      <c r="H66" t="str">
        <f t="shared" si="0"/>
        <v>No Discount</v>
      </c>
    </row>
    <row r="67" spans="1:8" x14ac:dyDescent="0.3">
      <c r="A67" s="3" t="s">
        <v>8</v>
      </c>
      <c r="B67" s="3" t="s">
        <v>15</v>
      </c>
      <c r="C67" s="4">
        <v>2020</v>
      </c>
      <c r="D67" s="4" t="s">
        <v>18</v>
      </c>
      <c r="E67" s="4" t="s">
        <v>29</v>
      </c>
      <c r="F67" s="4">
        <v>469</v>
      </c>
      <c r="G67" s="4">
        <v>5057696</v>
      </c>
      <c r="H67" t="str">
        <f t="shared" ref="H67:H130" si="1">IF(G67&gt;10000000,"Discount allowed","No Discount")</f>
        <v>No Discount</v>
      </c>
    </row>
    <row r="68" spans="1:8" x14ac:dyDescent="0.3">
      <c r="A68" s="3" t="s">
        <v>9</v>
      </c>
      <c r="B68" s="3" t="s">
        <v>16</v>
      </c>
      <c r="C68" s="4">
        <v>2020</v>
      </c>
      <c r="D68" s="4" t="s">
        <v>18</v>
      </c>
      <c r="E68" s="4" t="s">
        <v>33</v>
      </c>
      <c r="F68" s="4">
        <v>680</v>
      </c>
      <c r="G68" s="4">
        <v>10697080</v>
      </c>
      <c r="H68" t="str">
        <f t="shared" si="1"/>
        <v>Discount allowed</v>
      </c>
    </row>
    <row r="69" spans="1:8" x14ac:dyDescent="0.3">
      <c r="A69" s="3" t="s">
        <v>10</v>
      </c>
      <c r="B69" s="3" t="s">
        <v>15</v>
      </c>
      <c r="C69" s="4">
        <v>2020</v>
      </c>
      <c r="D69" s="4" t="s">
        <v>18</v>
      </c>
      <c r="E69" s="4" t="s">
        <v>32</v>
      </c>
      <c r="F69" s="4">
        <v>930</v>
      </c>
      <c r="G69" s="4">
        <v>11215800</v>
      </c>
      <c r="H69" t="str">
        <f t="shared" si="1"/>
        <v>Discount allowed</v>
      </c>
    </row>
    <row r="70" spans="1:8" x14ac:dyDescent="0.3">
      <c r="A70" s="3" t="s">
        <v>11</v>
      </c>
      <c r="B70" s="3" t="s">
        <v>15</v>
      </c>
      <c r="C70" s="4">
        <v>2020</v>
      </c>
      <c r="D70" s="4" t="s">
        <v>18</v>
      </c>
      <c r="E70" s="4" t="s">
        <v>28</v>
      </c>
      <c r="F70" s="4">
        <v>1219</v>
      </c>
      <c r="G70" s="4">
        <v>11874279</v>
      </c>
      <c r="H70" t="str">
        <f t="shared" si="1"/>
        <v>Discount allowed</v>
      </c>
    </row>
    <row r="71" spans="1:8" x14ac:dyDescent="0.3">
      <c r="A71" s="3" t="s">
        <v>12</v>
      </c>
      <c r="B71" s="3" t="s">
        <v>16</v>
      </c>
      <c r="C71" s="4">
        <v>2020</v>
      </c>
      <c r="D71" s="4" t="s">
        <v>18</v>
      </c>
      <c r="E71" s="4" t="s">
        <v>29</v>
      </c>
      <c r="F71" s="4">
        <v>1420</v>
      </c>
      <c r="G71" s="4">
        <v>53555300</v>
      </c>
      <c r="H71" t="str">
        <f t="shared" si="1"/>
        <v>Discount allowed</v>
      </c>
    </row>
    <row r="72" spans="1:8" x14ac:dyDescent="0.3">
      <c r="A72" s="3" t="s">
        <v>13</v>
      </c>
      <c r="B72" s="3" t="s">
        <v>17</v>
      </c>
      <c r="C72" s="4">
        <v>2020</v>
      </c>
      <c r="D72" s="4" t="s">
        <v>18</v>
      </c>
      <c r="E72" s="4" t="s">
        <v>30</v>
      </c>
      <c r="F72" s="4">
        <v>300</v>
      </c>
      <c r="G72" s="4">
        <v>23411700</v>
      </c>
      <c r="H72" t="str">
        <f t="shared" si="1"/>
        <v>Discount allowed</v>
      </c>
    </row>
    <row r="73" spans="1:8" x14ac:dyDescent="0.3">
      <c r="A73" s="3" t="s">
        <v>14</v>
      </c>
      <c r="B73" s="3" t="s">
        <v>16</v>
      </c>
      <c r="C73" s="4">
        <v>2020</v>
      </c>
      <c r="D73" s="4" t="s">
        <v>18</v>
      </c>
      <c r="E73" s="4" t="s">
        <v>27</v>
      </c>
      <c r="F73" s="4">
        <v>1500</v>
      </c>
      <c r="G73" s="4">
        <v>42850500</v>
      </c>
      <c r="H73" t="str">
        <f t="shared" si="1"/>
        <v>Discount allowed</v>
      </c>
    </row>
    <row r="74" spans="1:8" x14ac:dyDescent="0.3">
      <c r="A74" s="3" t="s">
        <v>7</v>
      </c>
      <c r="B74" s="3" t="s">
        <v>15</v>
      </c>
      <c r="C74" s="4">
        <v>2020</v>
      </c>
      <c r="D74" s="4" t="s">
        <v>19</v>
      </c>
      <c r="E74" s="4" t="s">
        <v>30</v>
      </c>
      <c r="F74" s="4">
        <v>310</v>
      </c>
      <c r="G74" s="4">
        <v>3467970</v>
      </c>
      <c r="H74" t="str">
        <f t="shared" si="1"/>
        <v>No Discount</v>
      </c>
    </row>
    <row r="75" spans="1:8" x14ac:dyDescent="0.3">
      <c r="A75" s="3" t="s">
        <v>8</v>
      </c>
      <c r="B75" s="3" t="s">
        <v>15</v>
      </c>
      <c r="C75" s="4">
        <v>2020</v>
      </c>
      <c r="D75" s="4" t="s">
        <v>19</v>
      </c>
      <c r="E75" s="4" t="s">
        <v>28</v>
      </c>
      <c r="F75" s="4">
        <v>1544</v>
      </c>
      <c r="G75" s="4">
        <v>16704536</v>
      </c>
      <c r="H75" t="str">
        <f t="shared" si="1"/>
        <v>Discount allowed</v>
      </c>
    </row>
    <row r="76" spans="1:8" x14ac:dyDescent="0.3">
      <c r="A76" s="3" t="s">
        <v>9</v>
      </c>
      <c r="B76" s="3" t="s">
        <v>16</v>
      </c>
      <c r="C76" s="4">
        <v>2020</v>
      </c>
      <c r="D76" s="4" t="s">
        <v>19</v>
      </c>
      <c r="E76" s="4" t="s">
        <v>29</v>
      </c>
      <c r="F76" s="4">
        <v>1049</v>
      </c>
      <c r="G76" s="4">
        <v>21928296</v>
      </c>
      <c r="H76" t="str">
        <f t="shared" si="1"/>
        <v>Discount allowed</v>
      </c>
    </row>
    <row r="77" spans="1:8" x14ac:dyDescent="0.3">
      <c r="A77" s="3" t="s">
        <v>10</v>
      </c>
      <c r="B77" s="3" t="s">
        <v>17</v>
      </c>
      <c r="C77" s="4">
        <v>2020</v>
      </c>
      <c r="D77" s="4" t="s">
        <v>19</v>
      </c>
      <c r="E77" s="4" t="s">
        <v>27</v>
      </c>
      <c r="F77" s="4">
        <v>1042</v>
      </c>
      <c r="G77" s="4">
        <v>77882206</v>
      </c>
      <c r="H77" t="str">
        <f t="shared" si="1"/>
        <v>Discount allowed</v>
      </c>
    </row>
    <row r="78" spans="1:8" x14ac:dyDescent="0.3">
      <c r="A78" s="3" t="s">
        <v>11</v>
      </c>
      <c r="B78" s="3" t="s">
        <v>17</v>
      </c>
      <c r="C78" s="4">
        <v>2020</v>
      </c>
      <c r="D78" s="4" t="s">
        <v>19</v>
      </c>
      <c r="E78" s="4" t="s">
        <v>35</v>
      </c>
      <c r="F78" s="4">
        <v>1899</v>
      </c>
      <c r="G78" s="4">
        <v>174766869</v>
      </c>
      <c r="H78" t="str">
        <f t="shared" si="1"/>
        <v>Discount allowed</v>
      </c>
    </row>
    <row r="79" spans="1:8" x14ac:dyDescent="0.3">
      <c r="A79" s="3" t="s">
        <v>12</v>
      </c>
      <c r="B79" s="3" t="s">
        <v>15</v>
      </c>
      <c r="C79" s="4">
        <v>2020</v>
      </c>
      <c r="D79" s="4" t="s">
        <v>19</v>
      </c>
      <c r="E79" s="4" t="s">
        <v>27</v>
      </c>
      <c r="F79" s="4">
        <v>1765</v>
      </c>
      <c r="G79" s="4">
        <v>20761695</v>
      </c>
      <c r="H79" t="str">
        <f t="shared" si="1"/>
        <v>Discount allowed</v>
      </c>
    </row>
    <row r="80" spans="1:8" x14ac:dyDescent="0.3">
      <c r="A80" s="3" t="s">
        <v>13</v>
      </c>
      <c r="B80" s="3" t="s">
        <v>17</v>
      </c>
      <c r="C80" s="4">
        <v>2020</v>
      </c>
      <c r="D80" s="4" t="s">
        <v>19</v>
      </c>
      <c r="E80" s="4" t="s">
        <v>27</v>
      </c>
      <c r="F80" s="4">
        <v>1019</v>
      </c>
      <c r="G80" s="4">
        <v>42022541</v>
      </c>
      <c r="H80" t="str">
        <f t="shared" si="1"/>
        <v>Discount allowed</v>
      </c>
    </row>
    <row r="81" spans="1:8" x14ac:dyDescent="0.3">
      <c r="A81" s="3" t="s">
        <v>14</v>
      </c>
      <c r="B81" s="3" t="s">
        <v>15</v>
      </c>
      <c r="C81" s="4">
        <v>2020</v>
      </c>
      <c r="D81" s="4" t="s">
        <v>19</v>
      </c>
      <c r="E81" s="4" t="s">
        <v>27</v>
      </c>
      <c r="F81" s="4">
        <v>1795</v>
      </c>
      <c r="G81" s="4">
        <v>15173135</v>
      </c>
      <c r="H81" t="str">
        <f t="shared" si="1"/>
        <v>Discount allowed</v>
      </c>
    </row>
    <row r="82" spans="1:8" x14ac:dyDescent="0.3">
      <c r="A82" s="3" t="s">
        <v>7</v>
      </c>
      <c r="B82" s="3" t="s">
        <v>17</v>
      </c>
      <c r="C82" s="4">
        <v>2020</v>
      </c>
      <c r="D82" s="4" t="s">
        <v>20</v>
      </c>
      <c r="E82" s="4" t="s">
        <v>29</v>
      </c>
      <c r="F82" s="4">
        <v>1238</v>
      </c>
      <c r="G82" s="4">
        <v>49621516</v>
      </c>
      <c r="H82" t="str">
        <f t="shared" si="1"/>
        <v>Discount allowed</v>
      </c>
    </row>
    <row r="83" spans="1:8" x14ac:dyDescent="0.3">
      <c r="A83" s="3" t="s">
        <v>8</v>
      </c>
      <c r="B83" s="3" t="s">
        <v>15</v>
      </c>
      <c r="C83" s="4">
        <v>2020</v>
      </c>
      <c r="D83" s="4" t="s">
        <v>20</v>
      </c>
      <c r="E83" s="4" t="s">
        <v>33</v>
      </c>
      <c r="F83" s="4">
        <v>934</v>
      </c>
      <c r="G83" s="4">
        <v>9313848</v>
      </c>
      <c r="H83" t="str">
        <f t="shared" si="1"/>
        <v>No Discount</v>
      </c>
    </row>
    <row r="84" spans="1:8" x14ac:dyDescent="0.3">
      <c r="A84" s="3" t="s">
        <v>9</v>
      </c>
      <c r="B84" s="3" t="s">
        <v>16</v>
      </c>
      <c r="C84" s="4">
        <v>2020</v>
      </c>
      <c r="D84" s="4" t="s">
        <v>20</v>
      </c>
      <c r="E84" s="4" t="s">
        <v>32</v>
      </c>
      <c r="F84" s="4">
        <v>222</v>
      </c>
      <c r="G84" s="4">
        <v>6442218</v>
      </c>
      <c r="H84" t="str">
        <f t="shared" si="1"/>
        <v>No Discount</v>
      </c>
    </row>
    <row r="85" spans="1:8" x14ac:dyDescent="0.3">
      <c r="A85" s="3" t="s">
        <v>10</v>
      </c>
      <c r="B85" s="3" t="s">
        <v>16</v>
      </c>
      <c r="C85" s="4">
        <v>2020</v>
      </c>
      <c r="D85" s="4" t="s">
        <v>20</v>
      </c>
      <c r="E85" s="4" t="s">
        <v>33</v>
      </c>
      <c r="F85" s="4">
        <v>443</v>
      </c>
      <c r="G85" s="4">
        <v>16651927</v>
      </c>
      <c r="H85" t="str">
        <f t="shared" si="1"/>
        <v>Discount allowed</v>
      </c>
    </row>
    <row r="86" spans="1:8" x14ac:dyDescent="0.3">
      <c r="A86" s="3" t="s">
        <v>11</v>
      </c>
      <c r="B86" s="3" t="s">
        <v>16</v>
      </c>
      <c r="C86" s="4">
        <v>2020</v>
      </c>
      <c r="D86" s="4" t="s">
        <v>20</v>
      </c>
      <c r="E86" s="4" t="s">
        <v>35</v>
      </c>
      <c r="F86" s="4">
        <v>526</v>
      </c>
      <c r="G86" s="4">
        <v>9354384</v>
      </c>
      <c r="H86" t="str">
        <f t="shared" si="1"/>
        <v>No Discount</v>
      </c>
    </row>
    <row r="87" spans="1:8" x14ac:dyDescent="0.3">
      <c r="A87" s="3" t="s">
        <v>12</v>
      </c>
      <c r="B87" s="3" t="s">
        <v>15</v>
      </c>
      <c r="C87" s="4">
        <v>2020</v>
      </c>
      <c r="D87" s="4" t="s">
        <v>20</v>
      </c>
      <c r="E87" s="4" t="s">
        <v>34</v>
      </c>
      <c r="F87" s="4">
        <v>919</v>
      </c>
      <c r="G87" s="4">
        <v>8054116</v>
      </c>
      <c r="H87" t="str">
        <f t="shared" si="1"/>
        <v>No Discount</v>
      </c>
    </row>
    <row r="88" spans="1:8" x14ac:dyDescent="0.3">
      <c r="A88" s="3" t="s">
        <v>13</v>
      </c>
      <c r="B88" s="3" t="s">
        <v>17</v>
      </c>
      <c r="C88" s="4">
        <v>2020</v>
      </c>
      <c r="D88" s="4" t="s">
        <v>20</v>
      </c>
      <c r="E88" s="4" t="s">
        <v>29</v>
      </c>
      <c r="F88" s="4">
        <v>614</v>
      </c>
      <c r="G88" s="4">
        <v>48439074</v>
      </c>
      <c r="H88" t="str">
        <f t="shared" si="1"/>
        <v>Discount allowed</v>
      </c>
    </row>
    <row r="89" spans="1:8" x14ac:dyDescent="0.3">
      <c r="A89" s="3" t="s">
        <v>14</v>
      </c>
      <c r="B89" s="3" t="s">
        <v>16</v>
      </c>
      <c r="C89" s="4">
        <v>2020</v>
      </c>
      <c r="D89" s="4" t="s">
        <v>20</v>
      </c>
      <c r="E89" s="4" t="s">
        <v>34</v>
      </c>
      <c r="F89" s="4">
        <v>613</v>
      </c>
      <c r="G89" s="4">
        <v>16256760</v>
      </c>
      <c r="H89" t="str">
        <f t="shared" si="1"/>
        <v>Discount allowed</v>
      </c>
    </row>
    <row r="90" spans="1:8" x14ac:dyDescent="0.3">
      <c r="A90" s="3" t="s">
        <v>7</v>
      </c>
      <c r="B90" s="3" t="s">
        <v>17</v>
      </c>
      <c r="C90" s="4">
        <v>2020</v>
      </c>
      <c r="D90" s="4" t="s">
        <v>21</v>
      </c>
      <c r="E90" s="4" t="s">
        <v>35</v>
      </c>
      <c r="F90" s="4">
        <v>341</v>
      </c>
      <c r="G90" s="4">
        <v>31373364</v>
      </c>
      <c r="H90" t="str">
        <f t="shared" si="1"/>
        <v>Discount allowed</v>
      </c>
    </row>
    <row r="91" spans="1:8" x14ac:dyDescent="0.3">
      <c r="A91" s="3" t="s">
        <v>8</v>
      </c>
      <c r="B91" s="3" t="s">
        <v>16</v>
      </c>
      <c r="C91" s="4">
        <v>2020</v>
      </c>
      <c r="D91" s="4" t="s">
        <v>21</v>
      </c>
      <c r="E91" s="4" t="s">
        <v>35</v>
      </c>
      <c r="F91" s="4">
        <v>1659</v>
      </c>
      <c r="G91" s="4">
        <v>51452226</v>
      </c>
      <c r="H91" t="str">
        <f t="shared" si="1"/>
        <v>Discount allowed</v>
      </c>
    </row>
    <row r="92" spans="1:8" x14ac:dyDescent="0.3">
      <c r="A92" s="3" t="s">
        <v>9</v>
      </c>
      <c r="B92" s="3" t="s">
        <v>15</v>
      </c>
      <c r="C92" s="4">
        <v>2020</v>
      </c>
      <c r="D92" s="4" t="s">
        <v>21</v>
      </c>
      <c r="E92" s="4" t="s">
        <v>31</v>
      </c>
      <c r="F92" s="4">
        <v>225</v>
      </c>
      <c r="G92" s="4">
        <v>2556675</v>
      </c>
      <c r="H92" t="str">
        <f t="shared" si="1"/>
        <v>No Discount</v>
      </c>
    </row>
    <row r="93" spans="1:8" x14ac:dyDescent="0.3">
      <c r="A93" s="3" t="s">
        <v>10</v>
      </c>
      <c r="B93" s="3" t="s">
        <v>15</v>
      </c>
      <c r="C93" s="4">
        <v>2020</v>
      </c>
      <c r="D93" s="4" t="s">
        <v>21</v>
      </c>
      <c r="E93" s="4" t="s">
        <v>34</v>
      </c>
      <c r="F93" s="4">
        <v>482</v>
      </c>
      <c r="G93" s="4">
        <v>6105494</v>
      </c>
      <c r="H93" t="str">
        <f t="shared" si="1"/>
        <v>No Discount</v>
      </c>
    </row>
    <row r="94" spans="1:8" x14ac:dyDescent="0.3">
      <c r="A94" s="3" t="s">
        <v>11</v>
      </c>
      <c r="B94" s="3" t="s">
        <v>17</v>
      </c>
      <c r="C94" s="4">
        <v>2020</v>
      </c>
      <c r="D94" s="4" t="s">
        <v>21</v>
      </c>
      <c r="E94" s="4" t="s">
        <v>34</v>
      </c>
      <c r="F94" s="4">
        <v>1562</v>
      </c>
      <c r="G94" s="4">
        <v>139074232</v>
      </c>
      <c r="H94" t="str">
        <f t="shared" si="1"/>
        <v>Discount allowed</v>
      </c>
    </row>
    <row r="95" spans="1:8" x14ac:dyDescent="0.3">
      <c r="A95" s="3" t="s">
        <v>12</v>
      </c>
      <c r="B95" s="3" t="s">
        <v>15</v>
      </c>
      <c r="C95" s="4">
        <v>2020</v>
      </c>
      <c r="D95" s="4" t="s">
        <v>21</v>
      </c>
      <c r="E95" s="4" t="s">
        <v>33</v>
      </c>
      <c r="F95" s="4">
        <v>1349</v>
      </c>
      <c r="G95" s="4">
        <v>19325774</v>
      </c>
      <c r="H95" t="str">
        <f t="shared" si="1"/>
        <v>Discount allowed</v>
      </c>
    </row>
    <row r="96" spans="1:8" x14ac:dyDescent="0.3">
      <c r="A96" s="3" t="s">
        <v>13</v>
      </c>
      <c r="B96" s="3" t="s">
        <v>17</v>
      </c>
      <c r="C96" s="4">
        <v>2020</v>
      </c>
      <c r="D96" s="4" t="s">
        <v>21</v>
      </c>
      <c r="E96" s="4" t="s">
        <v>29</v>
      </c>
      <c r="F96" s="4">
        <v>167</v>
      </c>
      <c r="G96" s="4">
        <v>18929450</v>
      </c>
      <c r="H96" t="str">
        <f t="shared" si="1"/>
        <v>Discount allowed</v>
      </c>
    </row>
    <row r="97" spans="1:8" x14ac:dyDescent="0.3">
      <c r="A97" s="3" t="s">
        <v>14</v>
      </c>
      <c r="B97" s="3" t="s">
        <v>15</v>
      </c>
      <c r="C97" s="4">
        <v>2020</v>
      </c>
      <c r="D97" s="4" t="s">
        <v>21</v>
      </c>
      <c r="E97" s="4" t="s">
        <v>26</v>
      </c>
      <c r="F97" s="4">
        <v>1975</v>
      </c>
      <c r="G97" s="4">
        <v>27106875</v>
      </c>
      <c r="H97" t="str">
        <f t="shared" si="1"/>
        <v>Discount allowed</v>
      </c>
    </row>
    <row r="98" spans="1:8" x14ac:dyDescent="0.3">
      <c r="A98" s="3" t="s">
        <v>7</v>
      </c>
      <c r="B98" s="3" t="s">
        <v>15</v>
      </c>
      <c r="C98" s="4">
        <v>2020</v>
      </c>
      <c r="D98" s="4" t="s">
        <v>22</v>
      </c>
      <c r="E98" s="4" t="s">
        <v>29</v>
      </c>
      <c r="F98" s="4">
        <v>1364</v>
      </c>
      <c r="G98" s="4">
        <v>9853536</v>
      </c>
      <c r="H98" t="str">
        <f t="shared" si="1"/>
        <v>No Discount</v>
      </c>
    </row>
    <row r="99" spans="1:8" x14ac:dyDescent="0.3">
      <c r="A99" s="3" t="s">
        <v>8</v>
      </c>
      <c r="B99" s="3" t="s">
        <v>16</v>
      </c>
      <c r="C99" s="4">
        <v>2020</v>
      </c>
      <c r="D99" s="4" t="s">
        <v>22</v>
      </c>
      <c r="E99" s="4" t="s">
        <v>27</v>
      </c>
      <c r="F99" s="4">
        <v>581</v>
      </c>
      <c r="G99" s="4">
        <v>14947968</v>
      </c>
      <c r="H99" t="str">
        <f t="shared" si="1"/>
        <v>Discount allowed</v>
      </c>
    </row>
    <row r="100" spans="1:8" x14ac:dyDescent="0.3">
      <c r="A100" s="3" t="s">
        <v>9</v>
      </c>
      <c r="B100" s="3" t="s">
        <v>17</v>
      </c>
      <c r="C100" s="4">
        <v>2020</v>
      </c>
      <c r="D100" s="4" t="s">
        <v>22</v>
      </c>
      <c r="E100" s="4" t="s">
        <v>27</v>
      </c>
      <c r="F100" s="4">
        <v>1944</v>
      </c>
      <c r="G100" s="4">
        <v>198441576</v>
      </c>
      <c r="H100" t="str">
        <f t="shared" si="1"/>
        <v>Discount allowed</v>
      </c>
    </row>
    <row r="101" spans="1:8" x14ac:dyDescent="0.3">
      <c r="A101" s="3" t="s">
        <v>10</v>
      </c>
      <c r="B101" s="3" t="s">
        <v>15</v>
      </c>
      <c r="C101" s="4">
        <v>2020</v>
      </c>
      <c r="D101" s="4" t="s">
        <v>22</v>
      </c>
      <c r="E101" s="4" t="s">
        <v>27</v>
      </c>
      <c r="F101" s="4">
        <v>322</v>
      </c>
      <c r="G101" s="4">
        <v>3262182</v>
      </c>
      <c r="H101" t="str">
        <f t="shared" si="1"/>
        <v>No Discount</v>
      </c>
    </row>
    <row r="102" spans="1:8" x14ac:dyDescent="0.3">
      <c r="A102" s="3" t="s">
        <v>11</v>
      </c>
      <c r="B102" s="3" t="s">
        <v>17</v>
      </c>
      <c r="C102" s="4">
        <v>2020</v>
      </c>
      <c r="D102" s="4" t="s">
        <v>22</v>
      </c>
      <c r="E102" s="4" t="s">
        <v>28</v>
      </c>
      <c r="F102" s="4">
        <v>526</v>
      </c>
      <c r="G102" s="4">
        <v>41181592</v>
      </c>
      <c r="H102" t="str">
        <f t="shared" si="1"/>
        <v>Discount allowed</v>
      </c>
    </row>
    <row r="103" spans="1:8" x14ac:dyDescent="0.3">
      <c r="A103" s="3" t="s">
        <v>12</v>
      </c>
      <c r="B103" s="3" t="s">
        <v>16</v>
      </c>
      <c r="C103" s="4">
        <v>2020</v>
      </c>
      <c r="D103" s="4" t="s">
        <v>22</v>
      </c>
      <c r="E103" s="4" t="s">
        <v>28</v>
      </c>
      <c r="F103" s="4">
        <v>1261</v>
      </c>
      <c r="G103" s="4">
        <v>20222657</v>
      </c>
      <c r="H103" t="str">
        <f t="shared" si="1"/>
        <v>Discount allowed</v>
      </c>
    </row>
    <row r="104" spans="1:8" x14ac:dyDescent="0.3">
      <c r="A104" s="3" t="s">
        <v>13</v>
      </c>
      <c r="B104" s="3" t="s">
        <v>17</v>
      </c>
      <c r="C104" s="4">
        <v>2020</v>
      </c>
      <c r="D104" s="4" t="s">
        <v>22</v>
      </c>
      <c r="E104" s="4" t="s">
        <v>34</v>
      </c>
      <c r="F104" s="4">
        <v>785</v>
      </c>
      <c r="G104" s="4">
        <v>56490955</v>
      </c>
      <c r="H104" t="str">
        <f t="shared" si="1"/>
        <v>Discount allowed</v>
      </c>
    </row>
    <row r="105" spans="1:8" x14ac:dyDescent="0.3">
      <c r="A105" s="3" t="s">
        <v>14</v>
      </c>
      <c r="B105" s="3" t="s">
        <v>17</v>
      </c>
      <c r="C105" s="4">
        <v>2020</v>
      </c>
      <c r="D105" s="4" t="s">
        <v>22</v>
      </c>
      <c r="E105" s="4" t="s">
        <v>32</v>
      </c>
      <c r="F105" s="4">
        <v>1846</v>
      </c>
      <c r="G105" s="4">
        <v>203899930</v>
      </c>
      <c r="H105" t="str">
        <f t="shared" si="1"/>
        <v>Discount allowed</v>
      </c>
    </row>
    <row r="106" spans="1:8" x14ac:dyDescent="0.3">
      <c r="A106" s="3" t="s">
        <v>7</v>
      </c>
      <c r="B106" s="3" t="s">
        <v>16</v>
      </c>
      <c r="C106" s="4">
        <v>2020</v>
      </c>
      <c r="D106" s="4" t="s">
        <v>23</v>
      </c>
      <c r="E106" s="4" t="s">
        <v>34</v>
      </c>
      <c r="F106" s="4">
        <v>1741</v>
      </c>
      <c r="G106" s="4">
        <v>31687941</v>
      </c>
      <c r="H106" t="str">
        <f t="shared" si="1"/>
        <v>Discount allowed</v>
      </c>
    </row>
    <row r="107" spans="1:8" x14ac:dyDescent="0.3">
      <c r="A107" s="3" t="s">
        <v>8</v>
      </c>
      <c r="B107" s="3" t="s">
        <v>16</v>
      </c>
      <c r="C107" s="4">
        <v>2020</v>
      </c>
      <c r="D107" s="4" t="s">
        <v>23</v>
      </c>
      <c r="E107" s="4" t="s">
        <v>34</v>
      </c>
      <c r="F107" s="4">
        <v>1026</v>
      </c>
      <c r="G107" s="4">
        <v>22460166</v>
      </c>
      <c r="H107" t="str">
        <f t="shared" si="1"/>
        <v>Discount allowed</v>
      </c>
    </row>
    <row r="108" spans="1:8" x14ac:dyDescent="0.3">
      <c r="A108" s="3" t="s">
        <v>9</v>
      </c>
      <c r="B108" s="3" t="s">
        <v>16</v>
      </c>
      <c r="C108" s="4">
        <v>2020</v>
      </c>
      <c r="D108" s="4" t="s">
        <v>23</v>
      </c>
      <c r="E108" s="4" t="s">
        <v>28</v>
      </c>
      <c r="F108" s="4">
        <v>223</v>
      </c>
      <c r="G108" s="4">
        <v>8570559</v>
      </c>
      <c r="H108" t="str">
        <f t="shared" si="1"/>
        <v>No Discount</v>
      </c>
    </row>
    <row r="109" spans="1:8" x14ac:dyDescent="0.3">
      <c r="A109" s="3" t="s">
        <v>10</v>
      </c>
      <c r="B109" s="3" t="s">
        <v>17</v>
      </c>
      <c r="C109" s="4">
        <v>2020</v>
      </c>
      <c r="D109" s="4" t="s">
        <v>23</v>
      </c>
      <c r="E109" s="4" t="s">
        <v>32</v>
      </c>
      <c r="F109" s="4">
        <v>756</v>
      </c>
      <c r="G109" s="4">
        <v>85969296</v>
      </c>
      <c r="H109" t="str">
        <f t="shared" si="1"/>
        <v>Discount allowed</v>
      </c>
    </row>
    <row r="110" spans="1:8" x14ac:dyDescent="0.3">
      <c r="A110" s="3" t="s">
        <v>11</v>
      </c>
      <c r="B110" s="3" t="s">
        <v>17</v>
      </c>
      <c r="C110" s="4">
        <v>2020</v>
      </c>
      <c r="D110" s="4" t="s">
        <v>23</v>
      </c>
      <c r="E110" s="4" t="s">
        <v>33</v>
      </c>
      <c r="F110" s="4">
        <v>1686</v>
      </c>
      <c r="G110" s="4">
        <v>180919602</v>
      </c>
      <c r="H110" t="str">
        <f t="shared" si="1"/>
        <v>Discount allowed</v>
      </c>
    </row>
    <row r="111" spans="1:8" x14ac:dyDescent="0.3">
      <c r="A111" s="3" t="s">
        <v>12</v>
      </c>
      <c r="B111" s="3" t="s">
        <v>16</v>
      </c>
      <c r="C111" s="4">
        <v>2020</v>
      </c>
      <c r="D111" s="4" t="s">
        <v>23</v>
      </c>
      <c r="E111" s="4" t="s">
        <v>30</v>
      </c>
      <c r="F111" s="4">
        <v>794</v>
      </c>
      <c r="G111" s="4">
        <v>12575372</v>
      </c>
      <c r="H111" t="str">
        <f t="shared" si="1"/>
        <v>Discount allowed</v>
      </c>
    </row>
    <row r="112" spans="1:8" x14ac:dyDescent="0.3">
      <c r="A112" s="3" t="s">
        <v>13</v>
      </c>
      <c r="B112" s="3" t="s">
        <v>16</v>
      </c>
      <c r="C112" s="4">
        <v>2020</v>
      </c>
      <c r="D112" s="4" t="s">
        <v>23</v>
      </c>
      <c r="E112" s="4" t="s">
        <v>28</v>
      </c>
      <c r="F112" s="4">
        <v>883</v>
      </c>
      <c r="G112" s="4">
        <v>13863100</v>
      </c>
      <c r="H112" t="str">
        <f t="shared" si="1"/>
        <v>Discount allowed</v>
      </c>
    </row>
    <row r="113" spans="1:8" x14ac:dyDescent="0.3">
      <c r="A113" s="3" t="s">
        <v>14</v>
      </c>
      <c r="B113" s="3" t="s">
        <v>17</v>
      </c>
      <c r="C113" s="4">
        <v>2020</v>
      </c>
      <c r="D113" s="4" t="s">
        <v>23</v>
      </c>
      <c r="E113" s="4" t="s">
        <v>35</v>
      </c>
      <c r="F113" s="4">
        <v>79</v>
      </c>
      <c r="G113" s="4">
        <v>8275882</v>
      </c>
      <c r="H113" t="str">
        <f t="shared" si="1"/>
        <v>No Discount</v>
      </c>
    </row>
    <row r="114" spans="1:8" x14ac:dyDescent="0.3">
      <c r="A114" s="3" t="s">
        <v>7</v>
      </c>
      <c r="B114" s="3" t="s">
        <v>17</v>
      </c>
      <c r="C114" s="4">
        <v>2020</v>
      </c>
      <c r="D114" s="4" t="s">
        <v>24</v>
      </c>
      <c r="E114" s="4" t="s">
        <v>31</v>
      </c>
      <c r="F114" s="4">
        <v>1628</v>
      </c>
      <c r="G114" s="4">
        <v>116338508</v>
      </c>
      <c r="H114" t="str">
        <f t="shared" si="1"/>
        <v>Discount allowed</v>
      </c>
    </row>
    <row r="115" spans="1:8" x14ac:dyDescent="0.3">
      <c r="A115" s="3" t="s">
        <v>8</v>
      </c>
      <c r="B115" s="3" t="s">
        <v>16</v>
      </c>
      <c r="C115" s="4">
        <v>2020</v>
      </c>
      <c r="D115" s="4" t="s">
        <v>24</v>
      </c>
      <c r="E115" s="4" t="s">
        <v>28</v>
      </c>
      <c r="F115" s="4">
        <v>298</v>
      </c>
      <c r="G115" s="4">
        <v>8813350</v>
      </c>
      <c r="H115" t="str">
        <f t="shared" si="1"/>
        <v>No Discount</v>
      </c>
    </row>
    <row r="116" spans="1:8" x14ac:dyDescent="0.3">
      <c r="A116" s="3" t="s">
        <v>9</v>
      </c>
      <c r="B116" s="3" t="s">
        <v>15</v>
      </c>
      <c r="C116" s="4">
        <v>2020</v>
      </c>
      <c r="D116" s="4" t="s">
        <v>24</v>
      </c>
      <c r="E116" s="4" t="s">
        <v>28</v>
      </c>
      <c r="F116" s="4">
        <v>1196</v>
      </c>
      <c r="G116" s="4">
        <v>11586848</v>
      </c>
      <c r="H116" t="str">
        <f t="shared" si="1"/>
        <v>Discount allowed</v>
      </c>
    </row>
    <row r="117" spans="1:8" x14ac:dyDescent="0.3">
      <c r="A117" s="3" t="s">
        <v>10</v>
      </c>
      <c r="B117" s="3" t="s">
        <v>15</v>
      </c>
      <c r="C117" s="4">
        <v>2020</v>
      </c>
      <c r="D117" s="4" t="s">
        <v>24</v>
      </c>
      <c r="E117" s="4" t="s">
        <v>28</v>
      </c>
      <c r="F117" s="4">
        <v>555</v>
      </c>
      <c r="G117" s="4">
        <v>5547225</v>
      </c>
      <c r="H117" t="str">
        <f t="shared" si="1"/>
        <v>No Discount</v>
      </c>
    </row>
    <row r="118" spans="1:8" x14ac:dyDescent="0.3">
      <c r="A118" s="3" t="s">
        <v>11</v>
      </c>
      <c r="B118" s="3" t="s">
        <v>15</v>
      </c>
      <c r="C118" s="4">
        <v>2020</v>
      </c>
      <c r="D118" s="4" t="s">
        <v>24</v>
      </c>
      <c r="E118" s="4" t="s">
        <v>33</v>
      </c>
      <c r="F118" s="4">
        <v>688</v>
      </c>
      <c r="G118" s="4">
        <v>6996960</v>
      </c>
      <c r="H118" t="str">
        <f t="shared" si="1"/>
        <v>No Discount</v>
      </c>
    </row>
    <row r="119" spans="1:8" x14ac:dyDescent="0.3">
      <c r="A119" s="3" t="s">
        <v>12</v>
      </c>
      <c r="B119" s="3" t="s">
        <v>16</v>
      </c>
      <c r="C119" s="4">
        <v>2020</v>
      </c>
      <c r="D119" s="4" t="s">
        <v>24</v>
      </c>
      <c r="E119" s="4" t="s">
        <v>34</v>
      </c>
      <c r="F119" s="4">
        <v>175</v>
      </c>
      <c r="G119" s="4">
        <v>5473650</v>
      </c>
      <c r="H119" t="str">
        <f t="shared" si="1"/>
        <v>No Discount</v>
      </c>
    </row>
    <row r="120" spans="1:8" x14ac:dyDescent="0.3">
      <c r="A120" s="3" t="s">
        <v>13</v>
      </c>
      <c r="B120" s="3" t="s">
        <v>17</v>
      </c>
      <c r="C120" s="4">
        <v>2020</v>
      </c>
      <c r="D120" s="4" t="s">
        <v>24</v>
      </c>
      <c r="E120" s="4" t="s">
        <v>26</v>
      </c>
      <c r="F120" s="4">
        <v>268</v>
      </c>
      <c r="G120" s="4">
        <v>28406392</v>
      </c>
      <c r="H120" t="str">
        <f t="shared" si="1"/>
        <v>Discount allowed</v>
      </c>
    </row>
    <row r="121" spans="1:8" x14ac:dyDescent="0.3">
      <c r="A121" s="3" t="s">
        <v>14</v>
      </c>
      <c r="B121" s="3" t="s">
        <v>17</v>
      </c>
      <c r="C121" s="4">
        <v>2020</v>
      </c>
      <c r="D121" s="4" t="s">
        <v>24</v>
      </c>
      <c r="E121" s="4" t="s">
        <v>28</v>
      </c>
      <c r="F121" s="4">
        <v>699</v>
      </c>
      <c r="G121" s="4">
        <v>44980650</v>
      </c>
      <c r="H121" t="str">
        <f t="shared" si="1"/>
        <v>Discount allowed</v>
      </c>
    </row>
    <row r="122" spans="1:8" x14ac:dyDescent="0.3">
      <c r="A122" s="3" t="s">
        <v>7</v>
      </c>
      <c r="B122" s="3" t="s">
        <v>17</v>
      </c>
      <c r="C122" s="4">
        <v>2020</v>
      </c>
      <c r="D122" s="4" t="s">
        <v>25</v>
      </c>
      <c r="E122" s="4" t="s">
        <v>28</v>
      </c>
      <c r="F122" s="4">
        <v>881</v>
      </c>
      <c r="G122" s="4">
        <v>42325883</v>
      </c>
      <c r="H122" t="str">
        <f t="shared" si="1"/>
        <v>Discount allowed</v>
      </c>
    </row>
    <row r="123" spans="1:8" x14ac:dyDescent="0.3">
      <c r="A123" s="3" t="s">
        <v>8</v>
      </c>
      <c r="B123" s="3" t="s">
        <v>16</v>
      </c>
      <c r="C123" s="4">
        <v>2020</v>
      </c>
      <c r="D123" s="4" t="s">
        <v>25</v>
      </c>
      <c r="E123" s="4" t="s">
        <v>28</v>
      </c>
      <c r="F123" s="4">
        <v>562</v>
      </c>
      <c r="G123" s="4">
        <v>17151116</v>
      </c>
      <c r="H123" t="str">
        <f t="shared" si="1"/>
        <v>Discount allowed</v>
      </c>
    </row>
    <row r="124" spans="1:8" x14ac:dyDescent="0.3">
      <c r="A124" s="3" t="s">
        <v>9</v>
      </c>
      <c r="B124" s="3" t="s">
        <v>15</v>
      </c>
      <c r="C124" s="4">
        <v>2020</v>
      </c>
      <c r="D124" s="4" t="s">
        <v>25</v>
      </c>
      <c r="E124" s="4" t="s">
        <v>29</v>
      </c>
      <c r="F124" s="4">
        <v>1194</v>
      </c>
      <c r="G124" s="4">
        <v>10657644</v>
      </c>
      <c r="H124" t="str">
        <f t="shared" si="1"/>
        <v>Discount allowed</v>
      </c>
    </row>
    <row r="125" spans="1:8" x14ac:dyDescent="0.3">
      <c r="A125" s="3" t="s">
        <v>10</v>
      </c>
      <c r="B125" s="3" t="s">
        <v>16</v>
      </c>
      <c r="C125" s="4">
        <v>2020</v>
      </c>
      <c r="D125" s="4" t="s">
        <v>25</v>
      </c>
      <c r="E125" s="4" t="s">
        <v>27</v>
      </c>
      <c r="F125" s="4">
        <v>737</v>
      </c>
      <c r="G125" s="4">
        <v>29437254</v>
      </c>
      <c r="H125" t="str">
        <f t="shared" si="1"/>
        <v>Discount allowed</v>
      </c>
    </row>
    <row r="126" spans="1:8" x14ac:dyDescent="0.3">
      <c r="A126" s="3" t="s">
        <v>11</v>
      </c>
      <c r="B126" s="3" t="s">
        <v>15</v>
      </c>
      <c r="C126" s="4">
        <v>2020</v>
      </c>
      <c r="D126" s="4" t="s">
        <v>25</v>
      </c>
      <c r="E126" s="4" t="s">
        <v>26</v>
      </c>
      <c r="F126" s="4">
        <v>291</v>
      </c>
      <c r="G126" s="4">
        <v>2092290</v>
      </c>
      <c r="H126" t="str">
        <f t="shared" si="1"/>
        <v>No Discount</v>
      </c>
    </row>
    <row r="127" spans="1:8" x14ac:dyDescent="0.3">
      <c r="A127" s="3" t="s">
        <v>12</v>
      </c>
      <c r="B127" s="3" t="s">
        <v>17</v>
      </c>
      <c r="C127" s="4">
        <v>2020</v>
      </c>
      <c r="D127" s="4" t="s">
        <v>25</v>
      </c>
      <c r="E127" s="4" t="s">
        <v>28</v>
      </c>
      <c r="F127" s="4">
        <v>1093</v>
      </c>
      <c r="G127" s="4">
        <v>96563271</v>
      </c>
      <c r="H127" t="str">
        <f t="shared" si="1"/>
        <v>Discount allowed</v>
      </c>
    </row>
    <row r="128" spans="1:8" x14ac:dyDescent="0.3">
      <c r="A128" s="3" t="s">
        <v>13</v>
      </c>
      <c r="B128" s="3" t="s">
        <v>17</v>
      </c>
      <c r="C128" s="4">
        <v>2020</v>
      </c>
      <c r="D128" s="4" t="s">
        <v>25</v>
      </c>
      <c r="E128" s="4" t="s">
        <v>35</v>
      </c>
      <c r="F128" s="4">
        <v>1559</v>
      </c>
      <c r="G128" s="4">
        <v>113464020</v>
      </c>
      <c r="H128" t="str">
        <f t="shared" si="1"/>
        <v>Discount allowed</v>
      </c>
    </row>
    <row r="129" spans="1:8" x14ac:dyDescent="0.3">
      <c r="A129" s="3" t="s">
        <v>14</v>
      </c>
      <c r="B129" s="3" t="s">
        <v>16</v>
      </c>
      <c r="C129" s="4">
        <v>2020</v>
      </c>
      <c r="D129" s="4" t="s">
        <v>25</v>
      </c>
      <c r="E129" s="4" t="s">
        <v>29</v>
      </c>
      <c r="F129" s="4">
        <v>1525</v>
      </c>
      <c r="G129" s="4">
        <v>25578825</v>
      </c>
      <c r="H129" t="str">
        <f t="shared" si="1"/>
        <v>Discount allowed</v>
      </c>
    </row>
    <row r="130" spans="1:8" x14ac:dyDescent="0.3">
      <c r="A130" s="3" t="s">
        <v>7</v>
      </c>
      <c r="B130" s="3" t="s">
        <v>16</v>
      </c>
      <c r="C130" s="4">
        <v>2021</v>
      </c>
      <c r="D130" s="4" t="s">
        <v>18</v>
      </c>
      <c r="E130" s="4" t="s">
        <v>32</v>
      </c>
      <c r="F130" s="4">
        <v>1479</v>
      </c>
      <c r="G130" s="4">
        <v>46357776</v>
      </c>
      <c r="H130" t="str">
        <f t="shared" si="1"/>
        <v>Discount allowed</v>
      </c>
    </row>
    <row r="131" spans="1:8" x14ac:dyDescent="0.3">
      <c r="A131" s="3" t="s">
        <v>8</v>
      </c>
      <c r="B131" s="3" t="s">
        <v>17</v>
      </c>
      <c r="C131" s="4">
        <v>2021</v>
      </c>
      <c r="D131" s="4" t="s">
        <v>18</v>
      </c>
      <c r="E131" s="4" t="s">
        <v>32</v>
      </c>
      <c r="F131" s="4">
        <v>1941</v>
      </c>
      <c r="G131" s="4">
        <v>140794317</v>
      </c>
      <c r="H131" t="str">
        <f t="shared" ref="H131:H194" si="2">IF(G131&gt;10000000,"Discount allowed","No Discount")</f>
        <v>Discount allowed</v>
      </c>
    </row>
    <row r="132" spans="1:8" x14ac:dyDescent="0.3">
      <c r="A132" s="3" t="s">
        <v>9</v>
      </c>
      <c r="B132" s="3" t="s">
        <v>17</v>
      </c>
      <c r="C132" s="4">
        <v>2021</v>
      </c>
      <c r="D132" s="4" t="s">
        <v>18</v>
      </c>
      <c r="E132" s="4" t="s">
        <v>26</v>
      </c>
      <c r="F132" s="4">
        <v>1228</v>
      </c>
      <c r="G132" s="4">
        <v>138433668</v>
      </c>
      <c r="H132" t="str">
        <f t="shared" si="2"/>
        <v>Discount allowed</v>
      </c>
    </row>
    <row r="133" spans="1:8" x14ac:dyDescent="0.3">
      <c r="A133" s="3" t="s">
        <v>10</v>
      </c>
      <c r="B133" s="3" t="s">
        <v>15</v>
      </c>
      <c r="C133" s="4">
        <v>2021</v>
      </c>
      <c r="D133" s="4" t="s">
        <v>18</v>
      </c>
      <c r="E133" s="4" t="s">
        <v>29</v>
      </c>
      <c r="F133" s="4">
        <v>665</v>
      </c>
      <c r="G133" s="4">
        <v>6160560</v>
      </c>
      <c r="H133" t="str">
        <f t="shared" si="2"/>
        <v>No Discount</v>
      </c>
    </row>
    <row r="134" spans="1:8" x14ac:dyDescent="0.3">
      <c r="A134" s="3" t="s">
        <v>11</v>
      </c>
      <c r="B134" s="3" t="s">
        <v>17</v>
      </c>
      <c r="C134" s="4">
        <v>2021</v>
      </c>
      <c r="D134" s="4" t="s">
        <v>18</v>
      </c>
      <c r="E134" s="4" t="s">
        <v>33</v>
      </c>
      <c r="F134" s="4">
        <v>723</v>
      </c>
      <c r="G134" s="4">
        <v>62642889</v>
      </c>
      <c r="H134" t="str">
        <f t="shared" si="2"/>
        <v>Discount allowed</v>
      </c>
    </row>
    <row r="135" spans="1:8" x14ac:dyDescent="0.3">
      <c r="A135" s="3" t="s">
        <v>12</v>
      </c>
      <c r="B135" s="3" t="s">
        <v>16</v>
      </c>
      <c r="C135" s="4">
        <v>2021</v>
      </c>
      <c r="D135" s="4" t="s">
        <v>18</v>
      </c>
      <c r="E135" s="4" t="s">
        <v>33</v>
      </c>
      <c r="F135" s="4">
        <v>1869</v>
      </c>
      <c r="G135" s="4">
        <v>59585589</v>
      </c>
      <c r="H135" t="str">
        <f t="shared" si="2"/>
        <v>Discount allowed</v>
      </c>
    </row>
    <row r="136" spans="1:8" x14ac:dyDescent="0.3">
      <c r="A136" s="3" t="s">
        <v>13</v>
      </c>
      <c r="B136" s="3" t="s">
        <v>15</v>
      </c>
      <c r="C136" s="4">
        <v>2021</v>
      </c>
      <c r="D136" s="4" t="s">
        <v>18</v>
      </c>
      <c r="E136" s="4" t="s">
        <v>31</v>
      </c>
      <c r="F136" s="4">
        <v>1532</v>
      </c>
      <c r="G136" s="4">
        <v>18365616</v>
      </c>
      <c r="H136" t="str">
        <f t="shared" si="2"/>
        <v>Discount allowed</v>
      </c>
    </row>
    <row r="137" spans="1:8" x14ac:dyDescent="0.3">
      <c r="A137" s="3" t="s">
        <v>14</v>
      </c>
      <c r="B137" s="3" t="s">
        <v>17</v>
      </c>
      <c r="C137" s="4">
        <v>2021</v>
      </c>
      <c r="D137" s="4" t="s">
        <v>18</v>
      </c>
      <c r="E137" s="4" t="s">
        <v>31</v>
      </c>
      <c r="F137" s="4">
        <v>746</v>
      </c>
      <c r="G137" s="4">
        <v>35867680</v>
      </c>
      <c r="H137" t="str">
        <f t="shared" si="2"/>
        <v>Discount allowed</v>
      </c>
    </row>
    <row r="138" spans="1:8" x14ac:dyDescent="0.3">
      <c r="A138" s="3" t="s">
        <v>7</v>
      </c>
      <c r="B138" s="3" t="s">
        <v>15</v>
      </c>
      <c r="C138" s="4">
        <v>2021</v>
      </c>
      <c r="D138" s="4" t="s">
        <v>19</v>
      </c>
      <c r="E138" s="4" t="s">
        <v>30</v>
      </c>
      <c r="F138" s="4">
        <v>502</v>
      </c>
      <c r="G138" s="4">
        <v>5786052</v>
      </c>
      <c r="H138" t="str">
        <f t="shared" si="2"/>
        <v>No Discount</v>
      </c>
    </row>
    <row r="139" spans="1:8" x14ac:dyDescent="0.3">
      <c r="A139" s="3" t="s">
        <v>8</v>
      </c>
      <c r="B139" s="3" t="s">
        <v>16</v>
      </c>
      <c r="C139" s="4">
        <v>2021</v>
      </c>
      <c r="D139" s="4" t="s">
        <v>19</v>
      </c>
      <c r="E139" s="4" t="s">
        <v>33</v>
      </c>
      <c r="F139" s="4">
        <v>881</v>
      </c>
      <c r="G139" s="4">
        <v>24347316</v>
      </c>
      <c r="H139" t="str">
        <f t="shared" si="2"/>
        <v>Discount allowed</v>
      </c>
    </row>
    <row r="140" spans="1:8" x14ac:dyDescent="0.3">
      <c r="A140" s="3" t="s">
        <v>9</v>
      </c>
      <c r="B140" s="3" t="s">
        <v>17</v>
      </c>
      <c r="C140" s="4">
        <v>2021</v>
      </c>
      <c r="D140" s="4" t="s">
        <v>19</v>
      </c>
      <c r="E140" s="4" t="s">
        <v>30</v>
      </c>
      <c r="F140" s="4">
        <v>871</v>
      </c>
      <c r="G140" s="4">
        <v>98630298</v>
      </c>
      <c r="H140" t="str">
        <f t="shared" si="2"/>
        <v>Discount allowed</v>
      </c>
    </row>
    <row r="141" spans="1:8" x14ac:dyDescent="0.3">
      <c r="A141" s="3" t="s">
        <v>10</v>
      </c>
      <c r="B141" s="3" t="s">
        <v>17</v>
      </c>
      <c r="C141" s="4">
        <v>2021</v>
      </c>
      <c r="D141" s="4" t="s">
        <v>19</v>
      </c>
      <c r="E141" s="4" t="s">
        <v>34</v>
      </c>
      <c r="F141" s="4">
        <v>1686</v>
      </c>
      <c r="G141" s="4">
        <v>132276816</v>
      </c>
      <c r="H141" t="str">
        <f t="shared" si="2"/>
        <v>Discount allowed</v>
      </c>
    </row>
    <row r="142" spans="1:8" x14ac:dyDescent="0.3">
      <c r="A142" s="3" t="s">
        <v>11</v>
      </c>
      <c r="B142" s="3" t="s">
        <v>15</v>
      </c>
      <c r="C142" s="4">
        <v>2021</v>
      </c>
      <c r="D142" s="4" t="s">
        <v>19</v>
      </c>
      <c r="E142" s="4" t="s">
        <v>32</v>
      </c>
      <c r="F142" s="4">
        <v>1033</v>
      </c>
      <c r="G142" s="4">
        <v>14511584</v>
      </c>
      <c r="H142" t="str">
        <f t="shared" si="2"/>
        <v>Discount allowed</v>
      </c>
    </row>
    <row r="143" spans="1:8" x14ac:dyDescent="0.3">
      <c r="A143" s="3" t="s">
        <v>12</v>
      </c>
      <c r="B143" s="3" t="s">
        <v>15</v>
      </c>
      <c r="C143" s="4">
        <v>2021</v>
      </c>
      <c r="D143" s="4" t="s">
        <v>19</v>
      </c>
      <c r="E143" s="4" t="s">
        <v>27</v>
      </c>
      <c r="F143" s="4">
        <v>506</v>
      </c>
      <c r="G143" s="4">
        <v>6710066</v>
      </c>
      <c r="H143" t="str">
        <f t="shared" si="2"/>
        <v>No Discount</v>
      </c>
    </row>
    <row r="144" spans="1:8" x14ac:dyDescent="0.3">
      <c r="A144" s="3" t="s">
        <v>13</v>
      </c>
      <c r="B144" s="3" t="s">
        <v>16</v>
      </c>
      <c r="C144" s="4">
        <v>2021</v>
      </c>
      <c r="D144" s="4" t="s">
        <v>19</v>
      </c>
      <c r="E144" s="4" t="s">
        <v>29</v>
      </c>
      <c r="F144" s="4">
        <v>952</v>
      </c>
      <c r="G144" s="4">
        <v>34209168</v>
      </c>
      <c r="H144" t="str">
        <f t="shared" si="2"/>
        <v>Discount allowed</v>
      </c>
    </row>
    <row r="145" spans="1:8" x14ac:dyDescent="0.3">
      <c r="A145" s="3" t="s">
        <v>14</v>
      </c>
      <c r="B145" s="3" t="s">
        <v>15</v>
      </c>
      <c r="C145" s="4">
        <v>2021</v>
      </c>
      <c r="D145" s="4" t="s">
        <v>19</v>
      </c>
      <c r="E145" s="4" t="s">
        <v>33</v>
      </c>
      <c r="F145" s="4">
        <v>719</v>
      </c>
      <c r="G145" s="4">
        <v>6186995</v>
      </c>
      <c r="H145" t="str">
        <f t="shared" si="2"/>
        <v>No Discount</v>
      </c>
    </row>
    <row r="146" spans="1:8" x14ac:dyDescent="0.3">
      <c r="A146" s="3" t="s">
        <v>7</v>
      </c>
      <c r="B146" s="3" t="s">
        <v>16</v>
      </c>
      <c r="C146" s="4">
        <v>2021</v>
      </c>
      <c r="D146" s="4" t="s">
        <v>20</v>
      </c>
      <c r="E146" s="4" t="s">
        <v>34</v>
      </c>
      <c r="F146" s="4">
        <v>569</v>
      </c>
      <c r="G146" s="4">
        <v>19827374</v>
      </c>
      <c r="H146" t="str">
        <f t="shared" si="2"/>
        <v>Discount allowed</v>
      </c>
    </row>
    <row r="147" spans="1:8" x14ac:dyDescent="0.3">
      <c r="A147" s="3" t="s">
        <v>8</v>
      </c>
      <c r="B147" s="3" t="s">
        <v>17</v>
      </c>
      <c r="C147" s="4">
        <v>2021</v>
      </c>
      <c r="D147" s="4" t="s">
        <v>20</v>
      </c>
      <c r="E147" s="4" t="s">
        <v>30</v>
      </c>
      <c r="F147" s="4">
        <v>1585</v>
      </c>
      <c r="G147" s="4">
        <v>72894150</v>
      </c>
      <c r="H147" t="str">
        <f t="shared" si="2"/>
        <v>Discount allowed</v>
      </c>
    </row>
    <row r="148" spans="1:8" x14ac:dyDescent="0.3">
      <c r="A148" s="3" t="s">
        <v>9</v>
      </c>
      <c r="B148" s="3" t="s">
        <v>17</v>
      </c>
      <c r="C148" s="4">
        <v>2021</v>
      </c>
      <c r="D148" s="4" t="s">
        <v>20</v>
      </c>
      <c r="E148" s="4" t="s">
        <v>31</v>
      </c>
      <c r="F148" s="4">
        <v>1694</v>
      </c>
      <c r="G148" s="4">
        <v>154289520</v>
      </c>
      <c r="H148" t="str">
        <f t="shared" si="2"/>
        <v>Discount allowed</v>
      </c>
    </row>
    <row r="149" spans="1:8" x14ac:dyDescent="0.3">
      <c r="A149" s="3" t="s">
        <v>10</v>
      </c>
      <c r="B149" s="3" t="s">
        <v>15</v>
      </c>
      <c r="C149" s="4">
        <v>2021</v>
      </c>
      <c r="D149" s="4" t="s">
        <v>20</v>
      </c>
      <c r="E149" s="4" t="s">
        <v>33</v>
      </c>
      <c r="F149" s="4">
        <v>91</v>
      </c>
      <c r="G149" s="4">
        <v>1253343</v>
      </c>
      <c r="H149" t="str">
        <f t="shared" si="2"/>
        <v>No Discount</v>
      </c>
    </row>
    <row r="150" spans="1:8" x14ac:dyDescent="0.3">
      <c r="A150" s="3" t="s">
        <v>11</v>
      </c>
      <c r="B150" s="3" t="s">
        <v>17</v>
      </c>
      <c r="C150" s="4">
        <v>2021</v>
      </c>
      <c r="D150" s="4" t="s">
        <v>20</v>
      </c>
      <c r="E150" s="4" t="s">
        <v>35</v>
      </c>
      <c r="F150" s="4">
        <v>145</v>
      </c>
      <c r="G150" s="4">
        <v>10404185</v>
      </c>
      <c r="H150" t="str">
        <f t="shared" si="2"/>
        <v>Discount allowed</v>
      </c>
    </row>
    <row r="151" spans="1:8" x14ac:dyDescent="0.3">
      <c r="A151" s="3" t="s">
        <v>12</v>
      </c>
      <c r="B151" s="3" t="s">
        <v>17</v>
      </c>
      <c r="C151" s="4">
        <v>2021</v>
      </c>
      <c r="D151" s="4" t="s">
        <v>20</v>
      </c>
      <c r="E151" s="4" t="s">
        <v>27</v>
      </c>
      <c r="F151" s="4">
        <v>547</v>
      </c>
      <c r="G151" s="4">
        <v>45828207</v>
      </c>
      <c r="H151" t="str">
        <f t="shared" si="2"/>
        <v>Discount allowed</v>
      </c>
    </row>
    <row r="152" spans="1:8" x14ac:dyDescent="0.3">
      <c r="A152" s="3" t="s">
        <v>13</v>
      </c>
      <c r="B152" s="3" t="s">
        <v>16</v>
      </c>
      <c r="C152" s="4">
        <v>2021</v>
      </c>
      <c r="D152" s="4" t="s">
        <v>20</v>
      </c>
      <c r="E152" s="4" t="s">
        <v>27</v>
      </c>
      <c r="F152" s="4">
        <v>1019</v>
      </c>
      <c r="G152" s="4">
        <v>37357559</v>
      </c>
      <c r="H152" t="str">
        <f t="shared" si="2"/>
        <v>Discount allowed</v>
      </c>
    </row>
    <row r="153" spans="1:8" x14ac:dyDescent="0.3">
      <c r="A153" s="3" t="s">
        <v>14</v>
      </c>
      <c r="B153" s="3" t="s">
        <v>16</v>
      </c>
      <c r="C153" s="4">
        <v>2021</v>
      </c>
      <c r="D153" s="4" t="s">
        <v>20</v>
      </c>
      <c r="E153" s="4" t="s">
        <v>30</v>
      </c>
      <c r="F153" s="4">
        <v>1470</v>
      </c>
      <c r="G153" s="4">
        <v>56302470</v>
      </c>
      <c r="H153" t="str">
        <f t="shared" si="2"/>
        <v>Discount allowed</v>
      </c>
    </row>
    <row r="154" spans="1:8" x14ac:dyDescent="0.3">
      <c r="A154" s="3" t="s">
        <v>7</v>
      </c>
      <c r="B154" s="3" t="s">
        <v>17</v>
      </c>
      <c r="C154" s="4">
        <v>2021</v>
      </c>
      <c r="D154" s="4" t="s">
        <v>21</v>
      </c>
      <c r="E154" s="4" t="s">
        <v>29</v>
      </c>
      <c r="F154" s="4">
        <v>1390</v>
      </c>
      <c r="G154" s="4">
        <v>73133460</v>
      </c>
      <c r="H154" t="str">
        <f t="shared" si="2"/>
        <v>Discount allowed</v>
      </c>
    </row>
    <row r="155" spans="1:8" x14ac:dyDescent="0.3">
      <c r="A155" s="3" t="s">
        <v>8</v>
      </c>
      <c r="B155" s="3" t="s">
        <v>16</v>
      </c>
      <c r="C155" s="4">
        <v>2021</v>
      </c>
      <c r="D155" s="4" t="s">
        <v>21</v>
      </c>
      <c r="E155" s="4" t="s">
        <v>35</v>
      </c>
      <c r="F155" s="4">
        <v>1315</v>
      </c>
      <c r="G155" s="4">
        <v>30243685</v>
      </c>
      <c r="H155" t="str">
        <f t="shared" si="2"/>
        <v>Discount allowed</v>
      </c>
    </row>
    <row r="156" spans="1:8" x14ac:dyDescent="0.3">
      <c r="A156" s="3" t="s">
        <v>9</v>
      </c>
      <c r="B156" s="3" t="s">
        <v>16</v>
      </c>
      <c r="C156" s="4">
        <v>2021</v>
      </c>
      <c r="D156" s="4" t="s">
        <v>21</v>
      </c>
      <c r="E156" s="4" t="s">
        <v>31</v>
      </c>
      <c r="F156" s="4">
        <v>337</v>
      </c>
      <c r="G156" s="4">
        <v>5323589</v>
      </c>
      <c r="H156" t="str">
        <f t="shared" si="2"/>
        <v>No Discount</v>
      </c>
    </row>
    <row r="157" spans="1:8" x14ac:dyDescent="0.3">
      <c r="A157" s="3" t="s">
        <v>10</v>
      </c>
      <c r="B157" s="3" t="s">
        <v>17</v>
      </c>
      <c r="C157" s="4">
        <v>2021</v>
      </c>
      <c r="D157" s="4" t="s">
        <v>21</v>
      </c>
      <c r="E157" s="4" t="s">
        <v>30</v>
      </c>
      <c r="F157" s="4">
        <v>237</v>
      </c>
      <c r="G157" s="4">
        <v>19541598</v>
      </c>
      <c r="H157" t="str">
        <f t="shared" si="2"/>
        <v>Discount allowed</v>
      </c>
    </row>
    <row r="158" spans="1:8" x14ac:dyDescent="0.3">
      <c r="A158" s="3" t="s">
        <v>11</v>
      </c>
      <c r="B158" s="3" t="s">
        <v>17</v>
      </c>
      <c r="C158" s="4">
        <v>2021</v>
      </c>
      <c r="D158" s="4" t="s">
        <v>21</v>
      </c>
      <c r="E158" s="4" t="s">
        <v>28</v>
      </c>
      <c r="F158" s="4">
        <v>1589</v>
      </c>
      <c r="G158" s="4">
        <v>107777103</v>
      </c>
      <c r="H158" t="str">
        <f t="shared" si="2"/>
        <v>Discount allowed</v>
      </c>
    </row>
    <row r="159" spans="1:8" x14ac:dyDescent="0.3">
      <c r="A159" s="3" t="s">
        <v>12</v>
      </c>
      <c r="B159" s="3" t="s">
        <v>15</v>
      </c>
      <c r="C159" s="4">
        <v>2021</v>
      </c>
      <c r="D159" s="4" t="s">
        <v>21</v>
      </c>
      <c r="E159" s="4" t="s">
        <v>35</v>
      </c>
      <c r="F159" s="4">
        <v>1547</v>
      </c>
      <c r="G159" s="4">
        <v>19694857</v>
      </c>
      <c r="H159" t="str">
        <f t="shared" si="2"/>
        <v>Discount allowed</v>
      </c>
    </row>
    <row r="160" spans="1:8" x14ac:dyDescent="0.3">
      <c r="A160" s="3" t="s">
        <v>13</v>
      </c>
      <c r="B160" s="3" t="s">
        <v>17</v>
      </c>
      <c r="C160" s="4">
        <v>2021</v>
      </c>
      <c r="D160" s="4" t="s">
        <v>21</v>
      </c>
      <c r="E160" s="4" t="s">
        <v>31</v>
      </c>
      <c r="F160" s="4">
        <v>332</v>
      </c>
      <c r="G160" s="4">
        <v>24090916</v>
      </c>
      <c r="H160" t="str">
        <f t="shared" si="2"/>
        <v>Discount allowed</v>
      </c>
    </row>
    <row r="161" spans="1:8" x14ac:dyDescent="0.3">
      <c r="A161" s="3" t="s">
        <v>14</v>
      </c>
      <c r="B161" s="3" t="s">
        <v>16</v>
      </c>
      <c r="C161" s="4">
        <v>2021</v>
      </c>
      <c r="D161" s="4" t="s">
        <v>21</v>
      </c>
      <c r="E161" s="4" t="s">
        <v>33</v>
      </c>
      <c r="F161" s="4">
        <v>1066</v>
      </c>
      <c r="G161" s="4">
        <v>41531360</v>
      </c>
      <c r="H161" t="str">
        <f t="shared" si="2"/>
        <v>Discount allowed</v>
      </c>
    </row>
    <row r="162" spans="1:8" x14ac:dyDescent="0.3">
      <c r="A162" s="3" t="s">
        <v>7</v>
      </c>
      <c r="B162" s="3" t="s">
        <v>15</v>
      </c>
      <c r="C162" s="4">
        <v>2021</v>
      </c>
      <c r="D162" s="4" t="s">
        <v>22</v>
      </c>
      <c r="E162" s="4" t="s">
        <v>27</v>
      </c>
      <c r="F162" s="4">
        <v>1085</v>
      </c>
      <c r="G162" s="4">
        <v>13691615</v>
      </c>
      <c r="H162" t="str">
        <f t="shared" si="2"/>
        <v>Discount allowed</v>
      </c>
    </row>
    <row r="163" spans="1:8" x14ac:dyDescent="0.3">
      <c r="A163" s="3" t="s">
        <v>8</v>
      </c>
      <c r="B163" s="3" t="s">
        <v>15</v>
      </c>
      <c r="C163" s="4">
        <v>2021</v>
      </c>
      <c r="D163" s="4" t="s">
        <v>22</v>
      </c>
      <c r="E163" s="4" t="s">
        <v>31</v>
      </c>
      <c r="F163" s="4">
        <v>1603</v>
      </c>
      <c r="G163" s="4">
        <v>23589748</v>
      </c>
      <c r="H163" t="str">
        <f t="shared" si="2"/>
        <v>Discount allowed</v>
      </c>
    </row>
    <row r="164" spans="1:8" x14ac:dyDescent="0.3">
      <c r="A164" s="3" t="s">
        <v>9</v>
      </c>
      <c r="B164" s="3" t="s">
        <v>15</v>
      </c>
      <c r="C164" s="4">
        <v>2021</v>
      </c>
      <c r="D164" s="4" t="s">
        <v>22</v>
      </c>
      <c r="E164" s="4" t="s">
        <v>28</v>
      </c>
      <c r="F164" s="4">
        <v>585</v>
      </c>
      <c r="G164" s="4">
        <v>4672980</v>
      </c>
      <c r="H164" t="str">
        <f t="shared" si="2"/>
        <v>No Discount</v>
      </c>
    </row>
    <row r="165" spans="1:8" x14ac:dyDescent="0.3">
      <c r="A165" s="3" t="s">
        <v>10</v>
      </c>
      <c r="B165" s="3" t="s">
        <v>17</v>
      </c>
      <c r="C165" s="4">
        <v>2021</v>
      </c>
      <c r="D165" s="4" t="s">
        <v>22</v>
      </c>
      <c r="E165" s="4" t="s">
        <v>26</v>
      </c>
      <c r="F165" s="4">
        <v>813</v>
      </c>
      <c r="G165" s="4">
        <v>76756956</v>
      </c>
      <c r="H165" t="str">
        <f t="shared" si="2"/>
        <v>Discount allowed</v>
      </c>
    </row>
    <row r="166" spans="1:8" x14ac:dyDescent="0.3">
      <c r="A166" s="3" t="s">
        <v>11</v>
      </c>
      <c r="B166" s="3" t="s">
        <v>16</v>
      </c>
      <c r="C166" s="4">
        <v>2021</v>
      </c>
      <c r="D166" s="4" t="s">
        <v>22</v>
      </c>
      <c r="E166" s="4" t="s">
        <v>33</v>
      </c>
      <c r="F166" s="4">
        <v>868</v>
      </c>
      <c r="G166" s="4">
        <v>34579384</v>
      </c>
      <c r="H166" t="str">
        <f t="shared" si="2"/>
        <v>Discount allowed</v>
      </c>
    </row>
    <row r="167" spans="1:8" x14ac:dyDescent="0.3">
      <c r="A167" s="3" t="s">
        <v>12</v>
      </c>
      <c r="B167" s="3" t="s">
        <v>16</v>
      </c>
      <c r="C167" s="4">
        <v>2021</v>
      </c>
      <c r="D167" s="4" t="s">
        <v>22</v>
      </c>
      <c r="E167" s="4" t="s">
        <v>34</v>
      </c>
      <c r="F167" s="4">
        <v>455</v>
      </c>
      <c r="G167" s="4">
        <v>7801430</v>
      </c>
      <c r="H167" t="str">
        <f t="shared" si="2"/>
        <v>No Discount</v>
      </c>
    </row>
    <row r="168" spans="1:8" x14ac:dyDescent="0.3">
      <c r="A168" s="3" t="s">
        <v>13</v>
      </c>
      <c r="B168" s="3" t="s">
        <v>15</v>
      </c>
      <c r="C168" s="4">
        <v>2021</v>
      </c>
      <c r="D168" s="4" t="s">
        <v>22</v>
      </c>
      <c r="E168" s="4" t="s">
        <v>33</v>
      </c>
      <c r="F168" s="4">
        <v>1137</v>
      </c>
      <c r="G168" s="4">
        <v>15597366</v>
      </c>
      <c r="H168" t="str">
        <f t="shared" si="2"/>
        <v>Discount allowed</v>
      </c>
    </row>
    <row r="169" spans="1:8" x14ac:dyDescent="0.3">
      <c r="A169" s="3" t="s">
        <v>14</v>
      </c>
      <c r="B169" s="3" t="s">
        <v>15</v>
      </c>
      <c r="C169" s="4">
        <v>2021</v>
      </c>
      <c r="D169" s="4" t="s">
        <v>22</v>
      </c>
      <c r="E169" s="4" t="s">
        <v>30</v>
      </c>
      <c r="F169" s="4">
        <v>740</v>
      </c>
      <c r="G169" s="4">
        <v>8532940</v>
      </c>
      <c r="H169" t="str">
        <f t="shared" si="2"/>
        <v>No Discount</v>
      </c>
    </row>
    <row r="170" spans="1:8" x14ac:dyDescent="0.3">
      <c r="A170" s="3" t="s">
        <v>7</v>
      </c>
      <c r="B170" s="3" t="s">
        <v>17</v>
      </c>
      <c r="C170" s="4">
        <v>2021</v>
      </c>
      <c r="D170" s="4" t="s">
        <v>23</v>
      </c>
      <c r="E170" s="4" t="s">
        <v>30</v>
      </c>
      <c r="F170" s="4">
        <v>911</v>
      </c>
      <c r="G170" s="4">
        <v>43275233</v>
      </c>
      <c r="H170" t="str">
        <f t="shared" si="2"/>
        <v>Discount allowed</v>
      </c>
    </row>
    <row r="171" spans="1:8" x14ac:dyDescent="0.3">
      <c r="A171" s="3" t="s">
        <v>8</v>
      </c>
      <c r="B171" s="3" t="s">
        <v>16</v>
      </c>
      <c r="C171" s="4">
        <v>2021</v>
      </c>
      <c r="D171" s="4" t="s">
        <v>23</v>
      </c>
      <c r="E171" s="4" t="s">
        <v>33</v>
      </c>
      <c r="F171" s="4">
        <v>1722</v>
      </c>
      <c r="G171" s="4">
        <v>38397156</v>
      </c>
      <c r="H171" t="str">
        <f t="shared" si="2"/>
        <v>Discount allowed</v>
      </c>
    </row>
    <row r="172" spans="1:8" x14ac:dyDescent="0.3">
      <c r="A172" s="3" t="s">
        <v>9</v>
      </c>
      <c r="B172" s="3" t="s">
        <v>15</v>
      </c>
      <c r="C172" s="4">
        <v>2021</v>
      </c>
      <c r="D172" s="4" t="s">
        <v>23</v>
      </c>
      <c r="E172" s="4" t="s">
        <v>27</v>
      </c>
      <c r="F172" s="4">
        <v>573</v>
      </c>
      <c r="G172" s="4">
        <v>4816065</v>
      </c>
      <c r="H172" t="str">
        <f t="shared" si="2"/>
        <v>No Discount</v>
      </c>
    </row>
    <row r="173" spans="1:8" x14ac:dyDescent="0.3">
      <c r="A173" s="3" t="s">
        <v>10</v>
      </c>
      <c r="B173" s="3" t="s">
        <v>16</v>
      </c>
      <c r="C173" s="4">
        <v>2021</v>
      </c>
      <c r="D173" s="4" t="s">
        <v>23</v>
      </c>
      <c r="E173" s="4" t="s">
        <v>26</v>
      </c>
      <c r="F173" s="4">
        <v>1423</v>
      </c>
      <c r="G173" s="4">
        <v>40463005</v>
      </c>
      <c r="H173" t="str">
        <f t="shared" si="2"/>
        <v>Discount allowed</v>
      </c>
    </row>
    <row r="174" spans="1:8" x14ac:dyDescent="0.3">
      <c r="A174" s="3" t="s">
        <v>11</v>
      </c>
      <c r="B174" s="3" t="s">
        <v>16</v>
      </c>
      <c r="C174" s="4">
        <v>2021</v>
      </c>
      <c r="D174" s="4" t="s">
        <v>23</v>
      </c>
      <c r="E174" s="4" t="s">
        <v>28</v>
      </c>
      <c r="F174" s="4">
        <v>1656</v>
      </c>
      <c r="G174" s="4">
        <v>60834816</v>
      </c>
      <c r="H174" t="str">
        <f t="shared" si="2"/>
        <v>Discount allowed</v>
      </c>
    </row>
    <row r="175" spans="1:8" x14ac:dyDescent="0.3">
      <c r="A175" s="3" t="s">
        <v>12</v>
      </c>
      <c r="B175" s="3" t="s">
        <v>17</v>
      </c>
      <c r="C175" s="4">
        <v>2021</v>
      </c>
      <c r="D175" s="4" t="s">
        <v>23</v>
      </c>
      <c r="E175" s="4" t="s">
        <v>26</v>
      </c>
      <c r="F175" s="4">
        <v>714</v>
      </c>
      <c r="G175" s="4">
        <v>40648734</v>
      </c>
      <c r="H175" t="str">
        <f t="shared" si="2"/>
        <v>Discount allowed</v>
      </c>
    </row>
    <row r="176" spans="1:8" x14ac:dyDescent="0.3">
      <c r="A176" s="3" t="s">
        <v>13</v>
      </c>
      <c r="B176" s="3" t="s">
        <v>16</v>
      </c>
      <c r="C176" s="4">
        <v>2021</v>
      </c>
      <c r="D176" s="4" t="s">
        <v>23</v>
      </c>
      <c r="E176" s="4" t="s">
        <v>26</v>
      </c>
      <c r="F176" s="4">
        <v>1998</v>
      </c>
      <c r="G176" s="4">
        <v>76523400</v>
      </c>
      <c r="H176" t="str">
        <f t="shared" si="2"/>
        <v>Discount allowed</v>
      </c>
    </row>
    <row r="177" spans="1:8" x14ac:dyDescent="0.3">
      <c r="A177" s="3" t="s">
        <v>14</v>
      </c>
      <c r="B177" s="3" t="s">
        <v>16</v>
      </c>
      <c r="C177" s="4">
        <v>2021</v>
      </c>
      <c r="D177" s="4" t="s">
        <v>23</v>
      </c>
      <c r="E177" s="4" t="s">
        <v>27</v>
      </c>
      <c r="F177" s="4">
        <v>1509</v>
      </c>
      <c r="G177" s="4">
        <v>28194156</v>
      </c>
      <c r="H177" t="str">
        <f t="shared" si="2"/>
        <v>Discount allowed</v>
      </c>
    </row>
    <row r="178" spans="1:8" x14ac:dyDescent="0.3">
      <c r="A178" s="3" t="s">
        <v>7</v>
      </c>
      <c r="B178" s="3" t="s">
        <v>15</v>
      </c>
      <c r="C178" s="4">
        <v>2021</v>
      </c>
      <c r="D178" s="4" t="s">
        <v>24</v>
      </c>
      <c r="E178" s="4" t="s">
        <v>31</v>
      </c>
      <c r="F178" s="4">
        <v>1355</v>
      </c>
      <c r="G178" s="4">
        <v>13704470</v>
      </c>
      <c r="H178" t="str">
        <f t="shared" si="2"/>
        <v>Discount allowed</v>
      </c>
    </row>
    <row r="179" spans="1:8" x14ac:dyDescent="0.3">
      <c r="A179" s="3" t="s">
        <v>8</v>
      </c>
      <c r="B179" s="3" t="s">
        <v>15</v>
      </c>
      <c r="C179" s="4">
        <v>2021</v>
      </c>
      <c r="D179" s="4" t="s">
        <v>24</v>
      </c>
      <c r="E179" s="4" t="s">
        <v>33</v>
      </c>
      <c r="F179" s="4">
        <v>556</v>
      </c>
      <c r="G179" s="4">
        <v>4491924</v>
      </c>
      <c r="H179" t="str">
        <f t="shared" si="2"/>
        <v>No Discount</v>
      </c>
    </row>
    <row r="180" spans="1:8" x14ac:dyDescent="0.3">
      <c r="A180" s="3" t="s">
        <v>9</v>
      </c>
      <c r="B180" s="3" t="s">
        <v>16</v>
      </c>
      <c r="C180" s="4">
        <v>2021</v>
      </c>
      <c r="D180" s="4" t="s">
        <v>24</v>
      </c>
      <c r="E180" s="4" t="s">
        <v>33</v>
      </c>
      <c r="F180" s="4">
        <v>531</v>
      </c>
      <c r="G180" s="4">
        <v>13681215</v>
      </c>
      <c r="H180" t="str">
        <f t="shared" si="2"/>
        <v>Discount allowed</v>
      </c>
    </row>
    <row r="181" spans="1:8" x14ac:dyDescent="0.3">
      <c r="A181" s="3" t="s">
        <v>10</v>
      </c>
      <c r="B181" s="3" t="s">
        <v>17</v>
      </c>
      <c r="C181" s="4">
        <v>2021</v>
      </c>
      <c r="D181" s="4" t="s">
        <v>24</v>
      </c>
      <c r="E181" s="4" t="s">
        <v>29</v>
      </c>
      <c r="F181" s="4">
        <v>691</v>
      </c>
      <c r="G181" s="4">
        <v>82817041</v>
      </c>
      <c r="H181" t="str">
        <f t="shared" si="2"/>
        <v>Discount allowed</v>
      </c>
    </row>
    <row r="182" spans="1:8" x14ac:dyDescent="0.3">
      <c r="A182" s="3" t="s">
        <v>11</v>
      </c>
      <c r="B182" s="3" t="s">
        <v>16</v>
      </c>
      <c r="C182" s="4">
        <v>2021</v>
      </c>
      <c r="D182" s="4" t="s">
        <v>24</v>
      </c>
      <c r="E182" s="4" t="s">
        <v>27</v>
      </c>
      <c r="F182" s="4">
        <v>1447</v>
      </c>
      <c r="G182" s="4">
        <v>38527822</v>
      </c>
      <c r="H182" t="str">
        <f t="shared" si="2"/>
        <v>Discount allowed</v>
      </c>
    </row>
    <row r="183" spans="1:8" x14ac:dyDescent="0.3">
      <c r="A183" s="3" t="s">
        <v>12</v>
      </c>
      <c r="B183" s="3" t="s">
        <v>17</v>
      </c>
      <c r="C183" s="4">
        <v>2021</v>
      </c>
      <c r="D183" s="4" t="s">
        <v>24</v>
      </c>
      <c r="E183" s="4" t="s">
        <v>32</v>
      </c>
      <c r="F183" s="4">
        <v>969</v>
      </c>
      <c r="G183" s="4">
        <v>47382162</v>
      </c>
      <c r="H183" t="str">
        <f t="shared" si="2"/>
        <v>Discount allowed</v>
      </c>
    </row>
    <row r="184" spans="1:8" x14ac:dyDescent="0.3">
      <c r="A184" s="3" t="s">
        <v>13</v>
      </c>
      <c r="B184" s="3" t="s">
        <v>16</v>
      </c>
      <c r="C184" s="4">
        <v>2021</v>
      </c>
      <c r="D184" s="4" t="s">
        <v>24</v>
      </c>
      <c r="E184" s="4" t="s">
        <v>28</v>
      </c>
      <c r="F184" s="4">
        <v>777</v>
      </c>
      <c r="G184" s="4">
        <v>26432763</v>
      </c>
      <c r="H184" t="str">
        <f t="shared" si="2"/>
        <v>Discount allowed</v>
      </c>
    </row>
    <row r="185" spans="1:8" x14ac:dyDescent="0.3">
      <c r="A185" s="3" t="s">
        <v>14</v>
      </c>
      <c r="B185" s="3" t="s">
        <v>15</v>
      </c>
      <c r="C185" s="4">
        <v>2021</v>
      </c>
      <c r="D185" s="4" t="s">
        <v>24</v>
      </c>
      <c r="E185" s="4" t="s">
        <v>34</v>
      </c>
      <c r="F185" s="4">
        <v>1802</v>
      </c>
      <c r="G185" s="4">
        <v>22207848</v>
      </c>
      <c r="H185" t="str">
        <f t="shared" si="2"/>
        <v>Discount allowed</v>
      </c>
    </row>
    <row r="186" spans="1:8" x14ac:dyDescent="0.3">
      <c r="A186" s="3" t="s">
        <v>7</v>
      </c>
      <c r="B186" s="3" t="s">
        <v>16</v>
      </c>
      <c r="C186" s="4">
        <v>2021</v>
      </c>
      <c r="D186" s="4" t="s">
        <v>25</v>
      </c>
      <c r="E186" s="4" t="s">
        <v>28</v>
      </c>
      <c r="F186" s="4">
        <v>1124</v>
      </c>
      <c r="G186" s="4">
        <v>23369084</v>
      </c>
      <c r="H186" t="str">
        <f t="shared" si="2"/>
        <v>Discount allowed</v>
      </c>
    </row>
    <row r="187" spans="1:8" x14ac:dyDescent="0.3">
      <c r="A187" s="3" t="s">
        <v>8</v>
      </c>
      <c r="B187" s="3" t="s">
        <v>17</v>
      </c>
      <c r="C187" s="4">
        <v>2021</v>
      </c>
      <c r="D187" s="4" t="s">
        <v>25</v>
      </c>
      <c r="E187" s="4" t="s">
        <v>26</v>
      </c>
      <c r="F187" s="4">
        <v>1626</v>
      </c>
      <c r="G187" s="4">
        <v>150663534</v>
      </c>
      <c r="H187" t="str">
        <f t="shared" si="2"/>
        <v>Discount allowed</v>
      </c>
    </row>
    <row r="188" spans="1:8" x14ac:dyDescent="0.3">
      <c r="A188" s="3" t="s">
        <v>9</v>
      </c>
      <c r="B188" s="3" t="s">
        <v>16</v>
      </c>
      <c r="C188" s="4">
        <v>2021</v>
      </c>
      <c r="D188" s="4" t="s">
        <v>25</v>
      </c>
      <c r="E188" s="4" t="s">
        <v>26</v>
      </c>
      <c r="F188" s="4">
        <v>1154</v>
      </c>
      <c r="G188" s="4">
        <v>30424056</v>
      </c>
      <c r="H188" t="str">
        <f t="shared" si="2"/>
        <v>Discount allowed</v>
      </c>
    </row>
    <row r="189" spans="1:8" x14ac:dyDescent="0.3">
      <c r="A189" s="3" t="s">
        <v>10</v>
      </c>
      <c r="B189" s="3" t="s">
        <v>17</v>
      </c>
      <c r="C189" s="4">
        <v>2021</v>
      </c>
      <c r="D189" s="4" t="s">
        <v>25</v>
      </c>
      <c r="E189" s="4" t="s">
        <v>28</v>
      </c>
      <c r="F189" s="4">
        <v>1237</v>
      </c>
      <c r="G189" s="4">
        <v>70410040</v>
      </c>
      <c r="H189" t="str">
        <f t="shared" si="2"/>
        <v>Discount allowed</v>
      </c>
    </row>
    <row r="190" spans="1:8" x14ac:dyDescent="0.3">
      <c r="A190" s="3" t="s">
        <v>11</v>
      </c>
      <c r="B190" s="3" t="s">
        <v>16</v>
      </c>
      <c r="C190" s="4">
        <v>2021</v>
      </c>
      <c r="D190" s="4" t="s">
        <v>25</v>
      </c>
      <c r="E190" s="4" t="s">
        <v>28</v>
      </c>
      <c r="F190" s="4">
        <v>1370</v>
      </c>
      <c r="G190" s="4">
        <v>31922370</v>
      </c>
      <c r="H190" t="str">
        <f t="shared" si="2"/>
        <v>Discount allowed</v>
      </c>
    </row>
    <row r="191" spans="1:8" x14ac:dyDescent="0.3">
      <c r="A191" s="3" t="s">
        <v>12</v>
      </c>
      <c r="B191" s="3" t="s">
        <v>17</v>
      </c>
      <c r="C191" s="4">
        <v>2021</v>
      </c>
      <c r="D191" s="4" t="s">
        <v>25</v>
      </c>
      <c r="E191" s="4" t="s">
        <v>30</v>
      </c>
      <c r="F191" s="4">
        <v>1996</v>
      </c>
      <c r="G191" s="4">
        <v>95191236</v>
      </c>
      <c r="H191" t="str">
        <f t="shared" si="2"/>
        <v>Discount allowed</v>
      </c>
    </row>
    <row r="192" spans="1:8" x14ac:dyDescent="0.3">
      <c r="A192" s="3" t="s">
        <v>13</v>
      </c>
      <c r="B192" s="3" t="s">
        <v>15</v>
      </c>
      <c r="C192" s="4">
        <v>2021</v>
      </c>
      <c r="D192" s="4" t="s">
        <v>25</v>
      </c>
      <c r="E192" s="4" t="s">
        <v>28</v>
      </c>
      <c r="F192" s="4">
        <v>1308</v>
      </c>
      <c r="G192" s="4">
        <v>10941420</v>
      </c>
      <c r="H192" t="str">
        <f t="shared" si="2"/>
        <v>Discount allowed</v>
      </c>
    </row>
    <row r="193" spans="1:8" x14ac:dyDescent="0.3">
      <c r="A193" s="3" t="s">
        <v>14</v>
      </c>
      <c r="B193" s="3" t="s">
        <v>17</v>
      </c>
      <c r="C193" s="4">
        <v>2021</v>
      </c>
      <c r="D193" s="4" t="s">
        <v>25</v>
      </c>
      <c r="E193" s="4" t="s">
        <v>31</v>
      </c>
      <c r="F193" s="4">
        <v>736</v>
      </c>
      <c r="G193" s="4">
        <v>38977824</v>
      </c>
      <c r="H193" t="str">
        <f t="shared" si="2"/>
        <v>Discount allowed</v>
      </c>
    </row>
    <row r="194" spans="1:8" x14ac:dyDescent="0.3">
      <c r="A194" s="3" t="s">
        <v>7</v>
      </c>
      <c r="B194" s="3" t="s">
        <v>15</v>
      </c>
      <c r="C194" s="4">
        <v>2022</v>
      </c>
      <c r="D194" s="4" t="s">
        <v>18</v>
      </c>
      <c r="E194" s="4" t="s">
        <v>31</v>
      </c>
      <c r="F194" s="4">
        <v>1949</v>
      </c>
      <c r="G194" s="4">
        <v>14317354</v>
      </c>
      <c r="H194" t="str">
        <f t="shared" si="2"/>
        <v>Discount allowed</v>
      </c>
    </row>
    <row r="195" spans="1:8" x14ac:dyDescent="0.3">
      <c r="A195" s="3" t="s">
        <v>8</v>
      </c>
      <c r="B195" s="3" t="s">
        <v>17</v>
      </c>
      <c r="C195" s="4">
        <v>2022</v>
      </c>
      <c r="D195" s="4" t="s">
        <v>18</v>
      </c>
      <c r="E195" s="4" t="s">
        <v>27</v>
      </c>
      <c r="F195" s="4">
        <v>1529</v>
      </c>
      <c r="G195" s="4">
        <v>102892526</v>
      </c>
      <c r="H195" t="str">
        <f t="shared" ref="H195:H258" si="3">IF(G195&gt;10000000,"Discount allowed","No Discount")</f>
        <v>Discount allowed</v>
      </c>
    </row>
    <row r="196" spans="1:8" x14ac:dyDescent="0.3">
      <c r="A196" s="3" t="s">
        <v>9</v>
      </c>
      <c r="B196" s="3" t="s">
        <v>16</v>
      </c>
      <c r="C196" s="4">
        <v>2022</v>
      </c>
      <c r="D196" s="4" t="s">
        <v>18</v>
      </c>
      <c r="E196" s="4" t="s">
        <v>26</v>
      </c>
      <c r="F196" s="4">
        <v>1682</v>
      </c>
      <c r="G196" s="4">
        <v>26999464</v>
      </c>
      <c r="H196" t="str">
        <f t="shared" si="3"/>
        <v>Discount allowed</v>
      </c>
    </row>
    <row r="197" spans="1:8" x14ac:dyDescent="0.3">
      <c r="A197" s="3" t="s">
        <v>10</v>
      </c>
      <c r="B197" s="3" t="s">
        <v>15</v>
      </c>
      <c r="C197" s="4">
        <v>2022</v>
      </c>
      <c r="D197" s="4" t="s">
        <v>18</v>
      </c>
      <c r="E197" s="4" t="s">
        <v>27</v>
      </c>
      <c r="F197" s="4">
        <v>1490</v>
      </c>
      <c r="G197" s="4">
        <v>21862770</v>
      </c>
      <c r="H197" t="str">
        <f t="shared" si="3"/>
        <v>Discount allowed</v>
      </c>
    </row>
    <row r="198" spans="1:8" x14ac:dyDescent="0.3">
      <c r="A198" s="3" t="s">
        <v>11</v>
      </c>
      <c r="B198" s="3" t="s">
        <v>17</v>
      </c>
      <c r="C198" s="4">
        <v>2022</v>
      </c>
      <c r="D198" s="4" t="s">
        <v>18</v>
      </c>
      <c r="E198" s="4" t="s">
        <v>28</v>
      </c>
      <c r="F198" s="4">
        <v>779</v>
      </c>
      <c r="G198" s="4">
        <v>83293796</v>
      </c>
      <c r="H198" t="str">
        <f t="shared" si="3"/>
        <v>Discount allowed</v>
      </c>
    </row>
    <row r="199" spans="1:8" x14ac:dyDescent="0.3">
      <c r="A199" s="3" t="s">
        <v>12</v>
      </c>
      <c r="B199" s="3" t="s">
        <v>16</v>
      </c>
      <c r="C199" s="4">
        <v>2022</v>
      </c>
      <c r="D199" s="4" t="s">
        <v>18</v>
      </c>
      <c r="E199" s="4" t="s">
        <v>32</v>
      </c>
      <c r="F199" s="4">
        <v>751</v>
      </c>
      <c r="G199" s="4">
        <v>28288668</v>
      </c>
      <c r="H199" t="str">
        <f t="shared" si="3"/>
        <v>Discount allowed</v>
      </c>
    </row>
    <row r="200" spans="1:8" x14ac:dyDescent="0.3">
      <c r="A200" s="3" t="s">
        <v>13</v>
      </c>
      <c r="B200" s="3" t="s">
        <v>17</v>
      </c>
      <c r="C200" s="4">
        <v>2022</v>
      </c>
      <c r="D200" s="4" t="s">
        <v>18</v>
      </c>
      <c r="E200" s="4" t="s">
        <v>28</v>
      </c>
      <c r="F200" s="4">
        <v>1785</v>
      </c>
      <c r="G200" s="4">
        <v>151266255</v>
      </c>
      <c r="H200" t="str">
        <f t="shared" si="3"/>
        <v>Discount allowed</v>
      </c>
    </row>
    <row r="201" spans="1:8" x14ac:dyDescent="0.3">
      <c r="A201" s="3" t="s">
        <v>14</v>
      </c>
      <c r="B201" s="3" t="s">
        <v>15</v>
      </c>
      <c r="C201" s="4">
        <v>2022</v>
      </c>
      <c r="D201" s="4" t="s">
        <v>18</v>
      </c>
      <c r="E201" s="4" t="s">
        <v>28</v>
      </c>
      <c r="F201" s="4">
        <v>1949</v>
      </c>
      <c r="G201" s="4">
        <v>15163220</v>
      </c>
      <c r="H201" t="str">
        <f t="shared" si="3"/>
        <v>Discount allowed</v>
      </c>
    </row>
    <row r="202" spans="1:8" x14ac:dyDescent="0.3">
      <c r="A202" s="3" t="s">
        <v>7</v>
      </c>
      <c r="B202" s="3" t="s">
        <v>15</v>
      </c>
      <c r="C202" s="4">
        <v>2022</v>
      </c>
      <c r="D202" s="4" t="s">
        <v>19</v>
      </c>
      <c r="E202" s="4" t="s">
        <v>33</v>
      </c>
      <c r="F202" s="4">
        <v>76</v>
      </c>
      <c r="G202" s="4">
        <v>852264</v>
      </c>
      <c r="H202" t="str">
        <f t="shared" si="3"/>
        <v>No Discount</v>
      </c>
    </row>
    <row r="203" spans="1:8" x14ac:dyDescent="0.3">
      <c r="A203" s="3" t="s">
        <v>8</v>
      </c>
      <c r="B203" s="3" t="s">
        <v>16</v>
      </c>
      <c r="C203" s="4">
        <v>2022</v>
      </c>
      <c r="D203" s="4" t="s">
        <v>19</v>
      </c>
      <c r="E203" s="4" t="s">
        <v>31</v>
      </c>
      <c r="F203" s="4">
        <v>1698</v>
      </c>
      <c r="G203" s="4">
        <v>38142174</v>
      </c>
      <c r="H203" t="str">
        <f t="shared" si="3"/>
        <v>Discount allowed</v>
      </c>
    </row>
    <row r="204" spans="1:8" x14ac:dyDescent="0.3">
      <c r="A204" s="3" t="s">
        <v>9</v>
      </c>
      <c r="B204" s="3" t="s">
        <v>17</v>
      </c>
      <c r="C204" s="4">
        <v>2022</v>
      </c>
      <c r="D204" s="4" t="s">
        <v>19</v>
      </c>
      <c r="E204" s="4" t="s">
        <v>26</v>
      </c>
      <c r="F204" s="4">
        <v>1890</v>
      </c>
      <c r="G204" s="4">
        <v>144547200</v>
      </c>
      <c r="H204" t="str">
        <f t="shared" si="3"/>
        <v>Discount allowed</v>
      </c>
    </row>
    <row r="205" spans="1:8" x14ac:dyDescent="0.3">
      <c r="A205" s="3" t="s">
        <v>10</v>
      </c>
      <c r="B205" s="3" t="s">
        <v>15</v>
      </c>
      <c r="C205" s="4">
        <v>2022</v>
      </c>
      <c r="D205" s="4" t="s">
        <v>19</v>
      </c>
      <c r="E205" s="4" t="s">
        <v>27</v>
      </c>
      <c r="F205" s="4">
        <v>413</v>
      </c>
      <c r="G205" s="4">
        <v>3063221</v>
      </c>
      <c r="H205" t="str">
        <f t="shared" si="3"/>
        <v>No Discount</v>
      </c>
    </row>
    <row r="206" spans="1:8" x14ac:dyDescent="0.3">
      <c r="A206" s="3" t="s">
        <v>11</v>
      </c>
      <c r="B206" s="3" t="s">
        <v>15</v>
      </c>
      <c r="C206" s="4">
        <v>2022</v>
      </c>
      <c r="D206" s="4" t="s">
        <v>19</v>
      </c>
      <c r="E206" s="4" t="s">
        <v>33</v>
      </c>
      <c r="F206" s="4">
        <v>1139</v>
      </c>
      <c r="G206" s="4">
        <v>8291920</v>
      </c>
      <c r="H206" t="str">
        <f t="shared" si="3"/>
        <v>No Discount</v>
      </c>
    </row>
    <row r="207" spans="1:8" x14ac:dyDescent="0.3">
      <c r="A207" s="3" t="s">
        <v>12</v>
      </c>
      <c r="B207" s="3" t="s">
        <v>15</v>
      </c>
      <c r="C207" s="4">
        <v>2022</v>
      </c>
      <c r="D207" s="4" t="s">
        <v>19</v>
      </c>
      <c r="E207" s="4" t="s">
        <v>32</v>
      </c>
      <c r="F207" s="4">
        <v>130</v>
      </c>
      <c r="G207" s="4">
        <v>1362010</v>
      </c>
      <c r="H207" t="str">
        <f t="shared" si="3"/>
        <v>No Discount</v>
      </c>
    </row>
    <row r="208" spans="1:8" x14ac:dyDescent="0.3">
      <c r="A208" s="3" t="s">
        <v>13</v>
      </c>
      <c r="B208" s="3" t="s">
        <v>17</v>
      </c>
      <c r="C208" s="4">
        <v>2022</v>
      </c>
      <c r="D208" s="4" t="s">
        <v>19</v>
      </c>
      <c r="E208" s="4" t="s">
        <v>31</v>
      </c>
      <c r="F208" s="4">
        <v>752</v>
      </c>
      <c r="G208" s="4">
        <v>53494272</v>
      </c>
      <c r="H208" t="str">
        <f t="shared" si="3"/>
        <v>Discount allowed</v>
      </c>
    </row>
    <row r="209" spans="1:8" x14ac:dyDescent="0.3">
      <c r="A209" s="3" t="s">
        <v>14</v>
      </c>
      <c r="B209" s="3" t="s">
        <v>17</v>
      </c>
      <c r="C209" s="4">
        <v>2022</v>
      </c>
      <c r="D209" s="4" t="s">
        <v>19</v>
      </c>
      <c r="E209" s="4" t="s">
        <v>28</v>
      </c>
      <c r="F209" s="4">
        <v>1621</v>
      </c>
      <c r="G209" s="4">
        <v>131373945</v>
      </c>
      <c r="H209" t="str">
        <f t="shared" si="3"/>
        <v>Discount allowed</v>
      </c>
    </row>
    <row r="210" spans="1:8" x14ac:dyDescent="0.3">
      <c r="A210" s="3" t="s">
        <v>7</v>
      </c>
      <c r="B210" s="3" t="s">
        <v>17</v>
      </c>
      <c r="C210" s="4">
        <v>2022</v>
      </c>
      <c r="D210" s="4" t="s">
        <v>20</v>
      </c>
      <c r="E210" s="4" t="s">
        <v>34</v>
      </c>
      <c r="F210" s="4">
        <v>1026</v>
      </c>
      <c r="G210" s="4">
        <v>60942348</v>
      </c>
      <c r="H210" t="str">
        <f t="shared" si="3"/>
        <v>Discount allowed</v>
      </c>
    </row>
    <row r="211" spans="1:8" x14ac:dyDescent="0.3">
      <c r="A211" s="3" t="s">
        <v>8</v>
      </c>
      <c r="B211" s="3" t="s">
        <v>17</v>
      </c>
      <c r="C211" s="4">
        <v>2022</v>
      </c>
      <c r="D211" s="4" t="s">
        <v>20</v>
      </c>
      <c r="E211" s="4" t="s">
        <v>34</v>
      </c>
      <c r="F211" s="4">
        <v>1683</v>
      </c>
      <c r="G211" s="4">
        <v>114815943</v>
      </c>
      <c r="H211" t="str">
        <f t="shared" si="3"/>
        <v>Discount allowed</v>
      </c>
    </row>
    <row r="212" spans="1:8" x14ac:dyDescent="0.3">
      <c r="A212" s="3" t="s">
        <v>9</v>
      </c>
      <c r="B212" s="3" t="s">
        <v>16</v>
      </c>
      <c r="C212" s="4">
        <v>2022</v>
      </c>
      <c r="D212" s="4" t="s">
        <v>20</v>
      </c>
      <c r="E212" s="4" t="s">
        <v>26</v>
      </c>
      <c r="F212" s="4">
        <v>1322</v>
      </c>
      <c r="G212" s="4">
        <v>44236764</v>
      </c>
      <c r="H212" t="str">
        <f t="shared" si="3"/>
        <v>Discount allowed</v>
      </c>
    </row>
    <row r="213" spans="1:8" x14ac:dyDescent="0.3">
      <c r="A213" s="3" t="s">
        <v>10</v>
      </c>
      <c r="B213" s="3" t="s">
        <v>15</v>
      </c>
      <c r="C213" s="4">
        <v>2022</v>
      </c>
      <c r="D213" s="4" t="s">
        <v>20</v>
      </c>
      <c r="E213" s="4" t="s">
        <v>27</v>
      </c>
      <c r="F213" s="4">
        <v>155</v>
      </c>
      <c r="G213" s="4">
        <v>1708565</v>
      </c>
      <c r="H213" t="str">
        <f t="shared" si="3"/>
        <v>No Discount</v>
      </c>
    </row>
    <row r="214" spans="1:8" x14ac:dyDescent="0.3">
      <c r="A214" s="3" t="s">
        <v>11</v>
      </c>
      <c r="B214" s="3" t="s">
        <v>15</v>
      </c>
      <c r="C214" s="4">
        <v>2022</v>
      </c>
      <c r="D214" s="4" t="s">
        <v>20</v>
      </c>
      <c r="E214" s="4" t="s">
        <v>31</v>
      </c>
      <c r="F214" s="4">
        <v>627</v>
      </c>
      <c r="G214" s="4">
        <v>7197333</v>
      </c>
      <c r="H214" t="str">
        <f t="shared" si="3"/>
        <v>No Discount</v>
      </c>
    </row>
    <row r="215" spans="1:8" x14ac:dyDescent="0.3">
      <c r="A215" s="3" t="s">
        <v>12</v>
      </c>
      <c r="B215" s="3" t="s">
        <v>15</v>
      </c>
      <c r="C215" s="4">
        <v>2022</v>
      </c>
      <c r="D215" s="4" t="s">
        <v>20</v>
      </c>
      <c r="E215" s="4" t="s">
        <v>35</v>
      </c>
      <c r="F215" s="4">
        <v>291</v>
      </c>
      <c r="G215" s="4">
        <v>3278697</v>
      </c>
      <c r="H215" t="str">
        <f t="shared" si="3"/>
        <v>No Discount</v>
      </c>
    </row>
    <row r="216" spans="1:8" x14ac:dyDescent="0.3">
      <c r="A216" s="3" t="s">
        <v>13</v>
      </c>
      <c r="B216" s="3" t="s">
        <v>15</v>
      </c>
      <c r="C216" s="4">
        <v>2022</v>
      </c>
      <c r="D216" s="4" t="s">
        <v>20</v>
      </c>
      <c r="E216" s="4" t="s">
        <v>31</v>
      </c>
      <c r="F216" s="4">
        <v>1667</v>
      </c>
      <c r="G216" s="4">
        <v>24826631</v>
      </c>
      <c r="H216" t="str">
        <f t="shared" si="3"/>
        <v>Discount allowed</v>
      </c>
    </row>
    <row r="217" spans="1:8" x14ac:dyDescent="0.3">
      <c r="A217" s="3" t="s">
        <v>14</v>
      </c>
      <c r="B217" s="3" t="s">
        <v>15</v>
      </c>
      <c r="C217" s="4">
        <v>2022</v>
      </c>
      <c r="D217" s="4" t="s">
        <v>20</v>
      </c>
      <c r="E217" s="4" t="s">
        <v>28</v>
      </c>
      <c r="F217" s="4">
        <v>1795</v>
      </c>
      <c r="G217" s="4">
        <v>22581100</v>
      </c>
      <c r="H217" t="str">
        <f t="shared" si="3"/>
        <v>Discount allowed</v>
      </c>
    </row>
    <row r="218" spans="1:8" x14ac:dyDescent="0.3">
      <c r="A218" s="3" t="s">
        <v>7</v>
      </c>
      <c r="B218" s="3" t="s">
        <v>15</v>
      </c>
      <c r="C218" s="4">
        <v>2022</v>
      </c>
      <c r="D218" s="4" t="s">
        <v>21</v>
      </c>
      <c r="E218" s="4" t="s">
        <v>35</v>
      </c>
      <c r="F218" s="4">
        <v>478</v>
      </c>
      <c r="G218" s="4">
        <v>7129370</v>
      </c>
      <c r="H218" t="str">
        <f t="shared" si="3"/>
        <v>No Discount</v>
      </c>
    </row>
    <row r="219" spans="1:8" x14ac:dyDescent="0.3">
      <c r="A219" s="3" t="s">
        <v>8</v>
      </c>
      <c r="B219" s="3" t="s">
        <v>16</v>
      </c>
      <c r="C219" s="4">
        <v>2022</v>
      </c>
      <c r="D219" s="4" t="s">
        <v>21</v>
      </c>
      <c r="E219" s="4" t="s">
        <v>31</v>
      </c>
      <c r="F219" s="4">
        <v>119</v>
      </c>
      <c r="G219" s="4">
        <v>4666109</v>
      </c>
      <c r="H219" t="str">
        <f t="shared" si="3"/>
        <v>No Discount</v>
      </c>
    </row>
    <row r="220" spans="1:8" x14ac:dyDescent="0.3">
      <c r="A220" s="3" t="s">
        <v>9</v>
      </c>
      <c r="B220" s="3" t="s">
        <v>16</v>
      </c>
      <c r="C220" s="4">
        <v>2022</v>
      </c>
      <c r="D220" s="4" t="s">
        <v>21</v>
      </c>
      <c r="E220" s="4" t="s">
        <v>29</v>
      </c>
      <c r="F220" s="4">
        <v>1075</v>
      </c>
      <c r="G220" s="4">
        <v>20261600</v>
      </c>
      <c r="H220" t="str">
        <f t="shared" si="3"/>
        <v>Discount allowed</v>
      </c>
    </row>
    <row r="221" spans="1:8" x14ac:dyDescent="0.3">
      <c r="A221" s="3" t="s">
        <v>10</v>
      </c>
      <c r="B221" s="3" t="s">
        <v>17</v>
      </c>
      <c r="C221" s="4">
        <v>2022</v>
      </c>
      <c r="D221" s="4" t="s">
        <v>21</v>
      </c>
      <c r="E221" s="4" t="s">
        <v>28</v>
      </c>
      <c r="F221" s="4">
        <v>1641</v>
      </c>
      <c r="G221" s="4">
        <v>167421384</v>
      </c>
      <c r="H221" t="str">
        <f t="shared" si="3"/>
        <v>Discount allowed</v>
      </c>
    </row>
    <row r="222" spans="1:8" x14ac:dyDescent="0.3">
      <c r="A222" s="3" t="s">
        <v>11</v>
      </c>
      <c r="B222" s="3" t="s">
        <v>16</v>
      </c>
      <c r="C222" s="4">
        <v>2022</v>
      </c>
      <c r="D222" s="4" t="s">
        <v>21</v>
      </c>
      <c r="E222" s="4" t="s">
        <v>30</v>
      </c>
      <c r="F222" s="4">
        <v>444</v>
      </c>
      <c r="G222" s="4">
        <v>10045056</v>
      </c>
      <c r="H222" t="str">
        <f t="shared" si="3"/>
        <v>Discount allowed</v>
      </c>
    </row>
    <row r="223" spans="1:8" x14ac:dyDescent="0.3">
      <c r="A223" s="3" t="s">
        <v>12</v>
      </c>
      <c r="B223" s="3" t="s">
        <v>16</v>
      </c>
      <c r="C223" s="4">
        <v>2022</v>
      </c>
      <c r="D223" s="4" t="s">
        <v>21</v>
      </c>
      <c r="E223" s="4" t="s">
        <v>35</v>
      </c>
      <c r="F223" s="4">
        <v>1137</v>
      </c>
      <c r="G223" s="4">
        <v>19391535</v>
      </c>
      <c r="H223" t="str">
        <f t="shared" si="3"/>
        <v>Discount allowed</v>
      </c>
    </row>
    <row r="224" spans="1:8" x14ac:dyDescent="0.3">
      <c r="A224" s="3" t="s">
        <v>13</v>
      </c>
      <c r="B224" s="3" t="s">
        <v>17</v>
      </c>
      <c r="C224" s="4">
        <v>2022</v>
      </c>
      <c r="D224" s="4" t="s">
        <v>21</v>
      </c>
      <c r="E224" s="4" t="s">
        <v>30</v>
      </c>
      <c r="F224" s="4">
        <v>1280</v>
      </c>
      <c r="G224" s="4">
        <v>108390400</v>
      </c>
      <c r="H224" t="str">
        <f t="shared" si="3"/>
        <v>Discount allowed</v>
      </c>
    </row>
    <row r="225" spans="1:8" x14ac:dyDescent="0.3">
      <c r="A225" s="3" t="s">
        <v>14</v>
      </c>
      <c r="B225" s="3" t="s">
        <v>17</v>
      </c>
      <c r="C225" s="4">
        <v>2022</v>
      </c>
      <c r="D225" s="4" t="s">
        <v>21</v>
      </c>
      <c r="E225" s="4" t="s">
        <v>29</v>
      </c>
      <c r="F225" s="4">
        <v>1709</v>
      </c>
      <c r="G225" s="4">
        <v>97332677</v>
      </c>
      <c r="H225" t="str">
        <f t="shared" si="3"/>
        <v>Discount allowed</v>
      </c>
    </row>
    <row r="226" spans="1:8" x14ac:dyDescent="0.3">
      <c r="A226" s="3" t="s">
        <v>7</v>
      </c>
      <c r="B226" s="3" t="s">
        <v>17</v>
      </c>
      <c r="C226" s="4">
        <v>2022</v>
      </c>
      <c r="D226" s="4" t="s">
        <v>22</v>
      </c>
      <c r="E226" s="4" t="s">
        <v>33</v>
      </c>
      <c r="F226" s="4">
        <v>2000</v>
      </c>
      <c r="G226" s="4">
        <v>217894000</v>
      </c>
      <c r="H226" t="str">
        <f t="shared" si="3"/>
        <v>Discount allowed</v>
      </c>
    </row>
    <row r="227" spans="1:8" x14ac:dyDescent="0.3">
      <c r="A227" s="3" t="s">
        <v>8</v>
      </c>
      <c r="B227" s="3" t="s">
        <v>15</v>
      </c>
      <c r="C227" s="4">
        <v>2022</v>
      </c>
      <c r="D227" s="4" t="s">
        <v>22</v>
      </c>
      <c r="E227" s="4" t="s">
        <v>31</v>
      </c>
      <c r="F227" s="4">
        <v>502</v>
      </c>
      <c r="G227" s="4">
        <v>6692664</v>
      </c>
      <c r="H227" t="str">
        <f t="shared" si="3"/>
        <v>No Discount</v>
      </c>
    </row>
    <row r="228" spans="1:8" x14ac:dyDescent="0.3">
      <c r="A228" s="3" t="s">
        <v>9</v>
      </c>
      <c r="B228" s="3" t="s">
        <v>15</v>
      </c>
      <c r="C228" s="4">
        <v>2022</v>
      </c>
      <c r="D228" s="4" t="s">
        <v>22</v>
      </c>
      <c r="E228" s="4" t="s">
        <v>35</v>
      </c>
      <c r="F228" s="4">
        <v>1269</v>
      </c>
      <c r="G228" s="4">
        <v>10376613</v>
      </c>
      <c r="H228" t="str">
        <f t="shared" si="3"/>
        <v>Discount allowed</v>
      </c>
    </row>
    <row r="229" spans="1:8" x14ac:dyDescent="0.3">
      <c r="A229" s="3" t="s">
        <v>10</v>
      </c>
      <c r="B229" s="3" t="s">
        <v>15</v>
      </c>
      <c r="C229" s="4">
        <v>2022</v>
      </c>
      <c r="D229" s="4" t="s">
        <v>22</v>
      </c>
      <c r="E229" s="4" t="s">
        <v>29</v>
      </c>
      <c r="F229" s="4">
        <v>292</v>
      </c>
      <c r="G229" s="4">
        <v>2133936</v>
      </c>
      <c r="H229" t="str">
        <f t="shared" si="3"/>
        <v>No Discount</v>
      </c>
    </row>
    <row r="230" spans="1:8" x14ac:dyDescent="0.3">
      <c r="A230" s="3" t="s">
        <v>11</v>
      </c>
      <c r="B230" s="3" t="s">
        <v>16</v>
      </c>
      <c r="C230" s="4">
        <v>2022</v>
      </c>
      <c r="D230" s="4" t="s">
        <v>22</v>
      </c>
      <c r="E230" s="4" t="s">
        <v>28</v>
      </c>
      <c r="F230" s="4">
        <v>745</v>
      </c>
      <c r="G230" s="4">
        <v>21858300</v>
      </c>
      <c r="H230" t="str">
        <f t="shared" si="3"/>
        <v>Discount allowed</v>
      </c>
    </row>
    <row r="231" spans="1:8" x14ac:dyDescent="0.3">
      <c r="A231" s="3" t="s">
        <v>12</v>
      </c>
      <c r="B231" s="3" t="s">
        <v>17</v>
      </c>
      <c r="C231" s="4">
        <v>2022</v>
      </c>
      <c r="D231" s="4" t="s">
        <v>22</v>
      </c>
      <c r="E231" s="4" t="s">
        <v>34</v>
      </c>
      <c r="F231" s="4">
        <v>1208</v>
      </c>
      <c r="G231" s="4">
        <v>99609264</v>
      </c>
      <c r="H231" t="str">
        <f t="shared" si="3"/>
        <v>Discount allowed</v>
      </c>
    </row>
    <row r="232" spans="1:8" x14ac:dyDescent="0.3">
      <c r="A232" s="3" t="s">
        <v>13</v>
      </c>
      <c r="B232" s="3" t="s">
        <v>17</v>
      </c>
      <c r="C232" s="4">
        <v>2022</v>
      </c>
      <c r="D232" s="4" t="s">
        <v>22</v>
      </c>
      <c r="E232" s="4" t="s">
        <v>35</v>
      </c>
      <c r="F232" s="4">
        <v>1633</v>
      </c>
      <c r="G232" s="4">
        <v>155206852</v>
      </c>
      <c r="H232" t="str">
        <f t="shared" si="3"/>
        <v>Discount allowed</v>
      </c>
    </row>
    <row r="233" spans="1:8" x14ac:dyDescent="0.3">
      <c r="A233" s="3" t="s">
        <v>14</v>
      </c>
      <c r="B233" s="3" t="s">
        <v>17</v>
      </c>
      <c r="C233" s="4">
        <v>2022</v>
      </c>
      <c r="D233" s="4" t="s">
        <v>22</v>
      </c>
      <c r="E233" s="4" t="s">
        <v>29</v>
      </c>
      <c r="F233" s="4">
        <v>620</v>
      </c>
      <c r="G233" s="4">
        <v>35173220</v>
      </c>
      <c r="H233" t="str">
        <f t="shared" si="3"/>
        <v>Discount allowed</v>
      </c>
    </row>
    <row r="234" spans="1:8" x14ac:dyDescent="0.3">
      <c r="A234" s="3" t="s">
        <v>7</v>
      </c>
      <c r="B234" s="3" t="s">
        <v>17</v>
      </c>
      <c r="C234" s="4">
        <v>2022</v>
      </c>
      <c r="D234" s="4" t="s">
        <v>23</v>
      </c>
      <c r="E234" s="4" t="s">
        <v>35</v>
      </c>
      <c r="F234" s="4">
        <v>992</v>
      </c>
      <c r="G234" s="4">
        <v>72977472</v>
      </c>
      <c r="H234" t="str">
        <f t="shared" si="3"/>
        <v>Discount allowed</v>
      </c>
    </row>
    <row r="235" spans="1:8" x14ac:dyDescent="0.3">
      <c r="A235" s="3" t="s">
        <v>8</v>
      </c>
      <c r="B235" s="3" t="s">
        <v>16</v>
      </c>
      <c r="C235" s="4">
        <v>2022</v>
      </c>
      <c r="D235" s="4" t="s">
        <v>23</v>
      </c>
      <c r="E235" s="4" t="s">
        <v>31</v>
      </c>
      <c r="F235" s="4">
        <v>989</v>
      </c>
      <c r="G235" s="4">
        <v>21488003</v>
      </c>
      <c r="H235" t="str">
        <f t="shared" si="3"/>
        <v>Discount allowed</v>
      </c>
    </row>
    <row r="236" spans="1:8" x14ac:dyDescent="0.3">
      <c r="A236" s="3" t="s">
        <v>9</v>
      </c>
      <c r="B236" s="3" t="s">
        <v>15</v>
      </c>
      <c r="C236" s="4">
        <v>2022</v>
      </c>
      <c r="D236" s="4" t="s">
        <v>23</v>
      </c>
      <c r="E236" s="4" t="s">
        <v>33</v>
      </c>
      <c r="F236" s="4">
        <v>1662</v>
      </c>
      <c r="G236" s="4">
        <v>18140730</v>
      </c>
      <c r="H236" t="str">
        <f t="shared" si="3"/>
        <v>Discount allowed</v>
      </c>
    </row>
    <row r="237" spans="1:8" x14ac:dyDescent="0.3">
      <c r="A237" s="3" t="s">
        <v>10</v>
      </c>
      <c r="B237" s="3" t="s">
        <v>16</v>
      </c>
      <c r="C237" s="4">
        <v>2022</v>
      </c>
      <c r="D237" s="4" t="s">
        <v>23</v>
      </c>
      <c r="E237" s="4" t="s">
        <v>31</v>
      </c>
      <c r="F237" s="4">
        <v>1416</v>
      </c>
      <c r="G237" s="4">
        <v>34975200</v>
      </c>
      <c r="H237" t="str">
        <f t="shared" si="3"/>
        <v>Discount allowed</v>
      </c>
    </row>
    <row r="238" spans="1:8" x14ac:dyDescent="0.3">
      <c r="A238" s="3" t="s">
        <v>11</v>
      </c>
      <c r="B238" s="3" t="s">
        <v>16</v>
      </c>
      <c r="C238" s="4">
        <v>2022</v>
      </c>
      <c r="D238" s="4" t="s">
        <v>23</v>
      </c>
      <c r="E238" s="4" t="s">
        <v>35</v>
      </c>
      <c r="F238" s="4">
        <v>658</v>
      </c>
      <c r="G238" s="4">
        <v>25297468</v>
      </c>
      <c r="H238" t="str">
        <f t="shared" si="3"/>
        <v>Discount allowed</v>
      </c>
    </row>
    <row r="239" spans="1:8" x14ac:dyDescent="0.3">
      <c r="A239" s="3" t="s">
        <v>12</v>
      </c>
      <c r="B239" s="3" t="s">
        <v>15</v>
      </c>
      <c r="C239" s="4">
        <v>2022</v>
      </c>
      <c r="D239" s="4" t="s">
        <v>23</v>
      </c>
      <c r="E239" s="4" t="s">
        <v>30</v>
      </c>
      <c r="F239" s="4">
        <v>1968</v>
      </c>
      <c r="G239" s="4">
        <v>25263216</v>
      </c>
      <c r="H239" t="str">
        <f t="shared" si="3"/>
        <v>Discount allowed</v>
      </c>
    </row>
    <row r="240" spans="1:8" x14ac:dyDescent="0.3">
      <c r="A240" s="3" t="s">
        <v>13</v>
      </c>
      <c r="B240" s="3" t="s">
        <v>17</v>
      </c>
      <c r="C240" s="4">
        <v>2022</v>
      </c>
      <c r="D240" s="4" t="s">
        <v>23</v>
      </c>
      <c r="E240" s="4" t="s">
        <v>34</v>
      </c>
      <c r="F240" s="4">
        <v>1128</v>
      </c>
      <c r="G240" s="4">
        <v>117366144</v>
      </c>
      <c r="H240" t="str">
        <f t="shared" si="3"/>
        <v>Discount allowed</v>
      </c>
    </row>
    <row r="241" spans="1:8" x14ac:dyDescent="0.3">
      <c r="A241" s="3" t="s">
        <v>14</v>
      </c>
      <c r="B241" s="3" t="s">
        <v>17</v>
      </c>
      <c r="C241" s="4">
        <v>2022</v>
      </c>
      <c r="D241" s="4" t="s">
        <v>23</v>
      </c>
      <c r="E241" s="4" t="s">
        <v>28</v>
      </c>
      <c r="F241" s="4">
        <v>853</v>
      </c>
      <c r="G241" s="4">
        <v>35466034</v>
      </c>
      <c r="H241" t="str">
        <f t="shared" si="3"/>
        <v>Discount allowed</v>
      </c>
    </row>
    <row r="242" spans="1:8" x14ac:dyDescent="0.3">
      <c r="A242" s="3" t="s">
        <v>7</v>
      </c>
      <c r="B242" s="3" t="s">
        <v>15</v>
      </c>
      <c r="C242" s="4">
        <v>2022</v>
      </c>
      <c r="D242" s="4" t="s">
        <v>24</v>
      </c>
      <c r="E242" s="4" t="s">
        <v>31</v>
      </c>
      <c r="F242" s="4">
        <v>1570</v>
      </c>
      <c r="G242" s="4">
        <v>16268340</v>
      </c>
      <c r="H242" t="str">
        <f t="shared" si="3"/>
        <v>Discount allowed</v>
      </c>
    </row>
    <row r="243" spans="1:8" x14ac:dyDescent="0.3">
      <c r="A243" s="3" t="s">
        <v>8</v>
      </c>
      <c r="B243" s="3" t="s">
        <v>17</v>
      </c>
      <c r="C243" s="4">
        <v>2022</v>
      </c>
      <c r="D243" s="4" t="s">
        <v>24</v>
      </c>
      <c r="E243" s="4" t="s">
        <v>35</v>
      </c>
      <c r="F243" s="4">
        <v>1223</v>
      </c>
      <c r="G243" s="4">
        <v>136200618</v>
      </c>
      <c r="H243" t="str">
        <f t="shared" si="3"/>
        <v>Discount allowed</v>
      </c>
    </row>
    <row r="244" spans="1:8" x14ac:dyDescent="0.3">
      <c r="A244" s="3" t="s">
        <v>9</v>
      </c>
      <c r="B244" s="3" t="s">
        <v>15</v>
      </c>
      <c r="C244" s="4">
        <v>2022</v>
      </c>
      <c r="D244" s="4" t="s">
        <v>24</v>
      </c>
      <c r="E244" s="4" t="s">
        <v>29</v>
      </c>
      <c r="F244" s="4">
        <v>1616</v>
      </c>
      <c r="G244" s="4">
        <v>21803072</v>
      </c>
      <c r="H244" t="str">
        <f t="shared" si="3"/>
        <v>Discount allowed</v>
      </c>
    </row>
    <row r="245" spans="1:8" x14ac:dyDescent="0.3">
      <c r="A245" s="3" t="s">
        <v>10</v>
      </c>
      <c r="B245" s="3" t="s">
        <v>16</v>
      </c>
      <c r="C245" s="4">
        <v>2022</v>
      </c>
      <c r="D245" s="4" t="s">
        <v>24</v>
      </c>
      <c r="E245" s="4" t="s">
        <v>26</v>
      </c>
      <c r="F245" s="4">
        <v>775</v>
      </c>
      <c r="G245" s="4">
        <v>26095025</v>
      </c>
      <c r="H245" t="str">
        <f t="shared" si="3"/>
        <v>Discount allowed</v>
      </c>
    </row>
    <row r="246" spans="1:8" x14ac:dyDescent="0.3">
      <c r="A246" s="3" t="s">
        <v>11</v>
      </c>
      <c r="B246" s="3" t="s">
        <v>15</v>
      </c>
      <c r="C246" s="4">
        <v>2022</v>
      </c>
      <c r="D246" s="4" t="s">
        <v>24</v>
      </c>
      <c r="E246" s="4" t="s">
        <v>26</v>
      </c>
      <c r="F246" s="4">
        <v>1818</v>
      </c>
      <c r="G246" s="4">
        <v>18398160</v>
      </c>
      <c r="H246" t="str">
        <f t="shared" si="3"/>
        <v>Discount allowed</v>
      </c>
    </row>
    <row r="247" spans="1:8" x14ac:dyDescent="0.3">
      <c r="A247" s="3" t="s">
        <v>12</v>
      </c>
      <c r="B247" s="3" t="s">
        <v>15</v>
      </c>
      <c r="C247" s="4">
        <v>2022</v>
      </c>
      <c r="D247" s="4" t="s">
        <v>24</v>
      </c>
      <c r="E247" s="4" t="s">
        <v>29</v>
      </c>
      <c r="F247" s="4">
        <v>1212</v>
      </c>
      <c r="G247" s="4">
        <v>13235040</v>
      </c>
      <c r="H247" t="str">
        <f t="shared" si="3"/>
        <v>Discount allowed</v>
      </c>
    </row>
    <row r="248" spans="1:8" x14ac:dyDescent="0.3">
      <c r="A248" s="3" t="s">
        <v>13</v>
      </c>
      <c r="B248" s="3" t="s">
        <v>15</v>
      </c>
      <c r="C248" s="4">
        <v>2022</v>
      </c>
      <c r="D248" s="4" t="s">
        <v>24</v>
      </c>
      <c r="E248" s="4" t="s">
        <v>29</v>
      </c>
      <c r="F248" s="4">
        <v>506</v>
      </c>
      <c r="G248" s="4">
        <v>5143490</v>
      </c>
      <c r="H248" t="str">
        <f t="shared" si="3"/>
        <v>No Discount</v>
      </c>
    </row>
    <row r="249" spans="1:8" x14ac:dyDescent="0.3">
      <c r="A249" s="3" t="s">
        <v>14</v>
      </c>
      <c r="B249" s="3" t="s">
        <v>16</v>
      </c>
      <c r="C249" s="4">
        <v>2022</v>
      </c>
      <c r="D249" s="4" t="s">
        <v>24</v>
      </c>
      <c r="E249" s="4" t="s">
        <v>35</v>
      </c>
      <c r="F249" s="4">
        <v>279</v>
      </c>
      <c r="G249" s="4">
        <v>7903512</v>
      </c>
      <c r="H249" t="str">
        <f t="shared" si="3"/>
        <v>No Discount</v>
      </c>
    </row>
    <row r="250" spans="1:8" x14ac:dyDescent="0.3">
      <c r="A250" s="3" t="s">
        <v>7</v>
      </c>
      <c r="B250" s="3" t="s">
        <v>15</v>
      </c>
      <c r="C250" s="4">
        <v>2022</v>
      </c>
      <c r="D250" s="4" t="s">
        <v>25</v>
      </c>
      <c r="E250" s="4" t="s">
        <v>29</v>
      </c>
      <c r="F250" s="4">
        <v>377</v>
      </c>
      <c r="G250" s="4">
        <v>5186012</v>
      </c>
      <c r="H250" t="str">
        <f t="shared" si="3"/>
        <v>No Discount</v>
      </c>
    </row>
    <row r="251" spans="1:8" x14ac:dyDescent="0.3">
      <c r="A251" s="3" t="s">
        <v>8</v>
      </c>
      <c r="B251" s="3" t="s">
        <v>15</v>
      </c>
      <c r="C251" s="4">
        <v>2022</v>
      </c>
      <c r="D251" s="4" t="s">
        <v>25</v>
      </c>
      <c r="E251" s="4" t="s">
        <v>26</v>
      </c>
      <c r="F251" s="4">
        <v>1480</v>
      </c>
      <c r="G251" s="4">
        <v>17872480</v>
      </c>
      <c r="H251" t="str">
        <f t="shared" si="3"/>
        <v>Discount allowed</v>
      </c>
    </row>
    <row r="252" spans="1:8" x14ac:dyDescent="0.3">
      <c r="A252" s="3" t="s">
        <v>9</v>
      </c>
      <c r="B252" s="3" t="s">
        <v>17</v>
      </c>
      <c r="C252" s="4">
        <v>2022</v>
      </c>
      <c r="D252" s="4" t="s">
        <v>25</v>
      </c>
      <c r="E252" s="4" t="s">
        <v>35</v>
      </c>
      <c r="F252" s="4">
        <v>1255</v>
      </c>
      <c r="G252" s="4">
        <v>100437650</v>
      </c>
      <c r="H252" t="str">
        <f t="shared" si="3"/>
        <v>Discount allowed</v>
      </c>
    </row>
    <row r="253" spans="1:8" x14ac:dyDescent="0.3">
      <c r="A253" s="3" t="s">
        <v>10</v>
      </c>
      <c r="B253" s="3" t="s">
        <v>15</v>
      </c>
      <c r="C253" s="4">
        <v>2022</v>
      </c>
      <c r="D253" s="4" t="s">
        <v>25</v>
      </c>
      <c r="E253" s="4" t="s">
        <v>26</v>
      </c>
      <c r="F253" s="4">
        <v>1243</v>
      </c>
      <c r="G253" s="4">
        <v>12300728</v>
      </c>
      <c r="H253" t="str">
        <f t="shared" si="3"/>
        <v>Discount allowed</v>
      </c>
    </row>
    <row r="254" spans="1:8" x14ac:dyDescent="0.3">
      <c r="A254" s="3" t="s">
        <v>11</v>
      </c>
      <c r="B254" s="3" t="s">
        <v>15</v>
      </c>
      <c r="C254" s="4">
        <v>2022</v>
      </c>
      <c r="D254" s="4" t="s">
        <v>25</v>
      </c>
      <c r="E254" s="4" t="s">
        <v>35</v>
      </c>
      <c r="F254" s="4">
        <v>1192</v>
      </c>
      <c r="G254" s="4">
        <v>11842520</v>
      </c>
      <c r="H254" t="str">
        <f t="shared" si="3"/>
        <v>Discount allowed</v>
      </c>
    </row>
    <row r="255" spans="1:8" x14ac:dyDescent="0.3">
      <c r="A255" s="3" t="s">
        <v>12</v>
      </c>
      <c r="B255" s="3" t="s">
        <v>16</v>
      </c>
      <c r="C255" s="4">
        <v>2022</v>
      </c>
      <c r="D255" s="4" t="s">
        <v>25</v>
      </c>
      <c r="E255" s="4" t="s">
        <v>28</v>
      </c>
      <c r="F255" s="4">
        <v>487</v>
      </c>
      <c r="G255" s="4">
        <v>12369313</v>
      </c>
      <c r="H255" t="str">
        <f t="shared" si="3"/>
        <v>Discount allowed</v>
      </c>
    </row>
    <row r="256" spans="1:8" x14ac:dyDescent="0.3">
      <c r="A256" s="3" t="s">
        <v>13</v>
      </c>
      <c r="B256" s="3" t="s">
        <v>16</v>
      </c>
      <c r="C256" s="4">
        <v>2022</v>
      </c>
      <c r="D256" s="4" t="s">
        <v>25</v>
      </c>
      <c r="E256" s="4" t="s">
        <v>30</v>
      </c>
      <c r="F256" s="4">
        <v>939</v>
      </c>
      <c r="G256" s="4">
        <v>20945334</v>
      </c>
      <c r="H256" t="str">
        <f t="shared" si="3"/>
        <v>Discount allowed</v>
      </c>
    </row>
    <row r="257" spans="1:8" x14ac:dyDescent="0.3">
      <c r="A257" s="3" t="s">
        <v>14</v>
      </c>
      <c r="B257" s="3" t="s">
        <v>17</v>
      </c>
      <c r="C257" s="4">
        <v>2022</v>
      </c>
      <c r="D257" s="4" t="s">
        <v>25</v>
      </c>
      <c r="E257" s="4" t="s">
        <v>29</v>
      </c>
      <c r="F257" s="4">
        <v>679</v>
      </c>
      <c r="G257" s="4">
        <v>66749774</v>
      </c>
      <c r="H257" t="str">
        <f t="shared" si="3"/>
        <v>Discount allowed</v>
      </c>
    </row>
    <row r="258" spans="1:8" x14ac:dyDescent="0.3">
      <c r="A258" s="3" t="s">
        <v>7</v>
      </c>
      <c r="B258" s="3" t="s">
        <v>16</v>
      </c>
      <c r="C258" s="4">
        <v>2023</v>
      </c>
      <c r="D258" s="4" t="s">
        <v>18</v>
      </c>
      <c r="E258" s="4" t="s">
        <v>26</v>
      </c>
      <c r="F258" s="4">
        <v>65</v>
      </c>
      <c r="G258" s="4">
        <v>1149070</v>
      </c>
      <c r="H258" t="str">
        <f t="shared" si="3"/>
        <v>No Discount</v>
      </c>
    </row>
    <row r="259" spans="1:8" x14ac:dyDescent="0.3">
      <c r="A259" s="3" t="s">
        <v>8</v>
      </c>
      <c r="B259" s="3" t="s">
        <v>17</v>
      </c>
      <c r="C259" s="4">
        <v>2023</v>
      </c>
      <c r="D259" s="4" t="s">
        <v>18</v>
      </c>
      <c r="E259" s="4" t="s">
        <v>29</v>
      </c>
      <c r="F259" s="4">
        <v>1781</v>
      </c>
      <c r="G259" s="4">
        <v>182174928</v>
      </c>
      <c r="H259" t="str">
        <f t="shared" ref="H259:H322" si="4">IF(G259&gt;10000000,"Discount allowed","No Discount")</f>
        <v>Discount allowed</v>
      </c>
    </row>
    <row r="260" spans="1:8" x14ac:dyDescent="0.3">
      <c r="A260" s="3" t="s">
        <v>9</v>
      </c>
      <c r="B260" s="3" t="s">
        <v>15</v>
      </c>
      <c r="C260" s="4">
        <v>2023</v>
      </c>
      <c r="D260" s="4" t="s">
        <v>18</v>
      </c>
      <c r="E260" s="4" t="s">
        <v>32</v>
      </c>
      <c r="F260" s="4">
        <v>1314</v>
      </c>
      <c r="G260" s="4">
        <v>18779688</v>
      </c>
      <c r="H260" t="str">
        <f t="shared" si="4"/>
        <v>Discount allowed</v>
      </c>
    </row>
    <row r="261" spans="1:8" x14ac:dyDescent="0.3">
      <c r="A261" s="3" t="s">
        <v>10</v>
      </c>
      <c r="B261" s="3" t="s">
        <v>15</v>
      </c>
      <c r="C261" s="4">
        <v>2023</v>
      </c>
      <c r="D261" s="4" t="s">
        <v>18</v>
      </c>
      <c r="E261" s="4" t="s">
        <v>33</v>
      </c>
      <c r="F261" s="4">
        <v>52</v>
      </c>
      <c r="G261" s="4">
        <v>375076</v>
      </c>
      <c r="H261" t="str">
        <f t="shared" si="4"/>
        <v>No Discount</v>
      </c>
    </row>
    <row r="262" spans="1:8" x14ac:dyDescent="0.3">
      <c r="A262" s="3" t="s">
        <v>11</v>
      </c>
      <c r="B262" s="3" t="s">
        <v>17</v>
      </c>
      <c r="C262" s="4">
        <v>2023</v>
      </c>
      <c r="D262" s="4" t="s">
        <v>18</v>
      </c>
      <c r="E262" s="4" t="s">
        <v>28</v>
      </c>
      <c r="F262" s="4">
        <v>1311</v>
      </c>
      <c r="G262" s="4">
        <v>107062815</v>
      </c>
      <c r="H262" t="str">
        <f t="shared" si="4"/>
        <v>Discount allowed</v>
      </c>
    </row>
    <row r="263" spans="1:8" x14ac:dyDescent="0.3">
      <c r="A263" s="3" t="s">
        <v>12</v>
      </c>
      <c r="B263" s="3" t="s">
        <v>17</v>
      </c>
      <c r="C263" s="4">
        <v>2023</v>
      </c>
      <c r="D263" s="4" t="s">
        <v>18</v>
      </c>
      <c r="E263" s="4" t="s">
        <v>34</v>
      </c>
      <c r="F263" s="4">
        <v>424</v>
      </c>
      <c r="G263" s="4">
        <v>31598176</v>
      </c>
      <c r="H263" t="str">
        <f t="shared" si="4"/>
        <v>Discount allowed</v>
      </c>
    </row>
    <row r="264" spans="1:8" x14ac:dyDescent="0.3">
      <c r="A264" s="3" t="s">
        <v>13</v>
      </c>
      <c r="B264" s="3" t="s">
        <v>17</v>
      </c>
      <c r="C264" s="4">
        <v>2023</v>
      </c>
      <c r="D264" s="4" t="s">
        <v>18</v>
      </c>
      <c r="E264" s="4" t="s">
        <v>26</v>
      </c>
      <c r="F264" s="4">
        <v>382</v>
      </c>
      <c r="G264" s="4">
        <v>35515686</v>
      </c>
      <c r="H264" t="str">
        <f t="shared" si="4"/>
        <v>Discount allowed</v>
      </c>
    </row>
    <row r="265" spans="1:8" x14ac:dyDescent="0.3">
      <c r="A265" s="3" t="s">
        <v>14</v>
      </c>
      <c r="B265" s="3" t="s">
        <v>17</v>
      </c>
      <c r="C265" s="4">
        <v>2023</v>
      </c>
      <c r="D265" s="4" t="s">
        <v>18</v>
      </c>
      <c r="E265" s="4" t="s">
        <v>32</v>
      </c>
      <c r="F265" s="4">
        <v>1856</v>
      </c>
      <c r="G265" s="4">
        <v>190590784</v>
      </c>
      <c r="H265" t="str">
        <f t="shared" si="4"/>
        <v>Discount allowed</v>
      </c>
    </row>
    <row r="266" spans="1:8" x14ac:dyDescent="0.3">
      <c r="A266" s="3" t="s">
        <v>7</v>
      </c>
      <c r="B266" s="3" t="s">
        <v>16</v>
      </c>
      <c r="C266" s="4">
        <v>2023</v>
      </c>
      <c r="D266" s="4" t="s">
        <v>19</v>
      </c>
      <c r="E266" s="4" t="s">
        <v>31</v>
      </c>
      <c r="F266" s="4">
        <v>944</v>
      </c>
      <c r="G266" s="4">
        <v>27965056</v>
      </c>
      <c r="H266" t="str">
        <f t="shared" si="4"/>
        <v>Discount allowed</v>
      </c>
    </row>
    <row r="267" spans="1:8" x14ac:dyDescent="0.3">
      <c r="A267" s="3" t="s">
        <v>8</v>
      </c>
      <c r="B267" s="3" t="s">
        <v>15</v>
      </c>
      <c r="C267" s="4">
        <v>2023</v>
      </c>
      <c r="D267" s="4" t="s">
        <v>19</v>
      </c>
      <c r="E267" s="4" t="s">
        <v>33</v>
      </c>
      <c r="F267" s="4">
        <v>893</v>
      </c>
      <c r="G267" s="4">
        <v>10636523</v>
      </c>
      <c r="H267" t="str">
        <f t="shared" si="4"/>
        <v>Discount allowed</v>
      </c>
    </row>
    <row r="268" spans="1:8" x14ac:dyDescent="0.3">
      <c r="A268" s="3" t="s">
        <v>9</v>
      </c>
      <c r="B268" s="3" t="s">
        <v>15</v>
      </c>
      <c r="C268" s="4">
        <v>2023</v>
      </c>
      <c r="D268" s="4" t="s">
        <v>19</v>
      </c>
      <c r="E268" s="4" t="s">
        <v>31</v>
      </c>
      <c r="F268" s="4">
        <v>1980</v>
      </c>
      <c r="G268" s="4">
        <v>25783560</v>
      </c>
      <c r="H268" t="str">
        <f t="shared" si="4"/>
        <v>Discount allowed</v>
      </c>
    </row>
    <row r="269" spans="1:8" x14ac:dyDescent="0.3">
      <c r="A269" s="3" t="s">
        <v>10</v>
      </c>
      <c r="B269" s="3" t="s">
        <v>16</v>
      </c>
      <c r="C269" s="4">
        <v>2023</v>
      </c>
      <c r="D269" s="4" t="s">
        <v>19</v>
      </c>
      <c r="E269" s="4" t="s">
        <v>29</v>
      </c>
      <c r="F269" s="4">
        <v>1145</v>
      </c>
      <c r="G269" s="4">
        <v>25252975</v>
      </c>
      <c r="H269" t="str">
        <f t="shared" si="4"/>
        <v>Discount allowed</v>
      </c>
    </row>
    <row r="270" spans="1:8" x14ac:dyDescent="0.3">
      <c r="A270" s="3" t="s">
        <v>11</v>
      </c>
      <c r="B270" s="3" t="s">
        <v>17</v>
      </c>
      <c r="C270" s="4">
        <v>2023</v>
      </c>
      <c r="D270" s="4" t="s">
        <v>19</v>
      </c>
      <c r="E270" s="4" t="s">
        <v>26</v>
      </c>
      <c r="F270" s="4">
        <v>850</v>
      </c>
      <c r="G270" s="4">
        <v>37460350</v>
      </c>
      <c r="H270" t="str">
        <f t="shared" si="4"/>
        <v>Discount allowed</v>
      </c>
    </row>
    <row r="271" spans="1:8" x14ac:dyDescent="0.3">
      <c r="A271" s="3" t="s">
        <v>12</v>
      </c>
      <c r="B271" s="3" t="s">
        <v>16</v>
      </c>
      <c r="C271" s="4">
        <v>2023</v>
      </c>
      <c r="D271" s="4" t="s">
        <v>19</v>
      </c>
      <c r="E271" s="4" t="s">
        <v>28</v>
      </c>
      <c r="F271" s="4">
        <v>422</v>
      </c>
      <c r="G271" s="4">
        <v>12848634</v>
      </c>
      <c r="H271" t="str">
        <f t="shared" si="4"/>
        <v>Discount allowed</v>
      </c>
    </row>
    <row r="272" spans="1:8" x14ac:dyDescent="0.3">
      <c r="A272" s="3" t="s">
        <v>13</v>
      </c>
      <c r="B272" s="3" t="s">
        <v>15</v>
      </c>
      <c r="C272" s="4">
        <v>2023</v>
      </c>
      <c r="D272" s="4" t="s">
        <v>19</v>
      </c>
      <c r="E272" s="4" t="s">
        <v>28</v>
      </c>
      <c r="F272" s="4">
        <v>823</v>
      </c>
      <c r="G272" s="4">
        <v>5895149</v>
      </c>
      <c r="H272" t="str">
        <f t="shared" si="4"/>
        <v>No Discount</v>
      </c>
    </row>
    <row r="273" spans="1:8" x14ac:dyDescent="0.3">
      <c r="A273" s="3" t="s">
        <v>14</v>
      </c>
      <c r="B273" s="3" t="s">
        <v>15</v>
      </c>
      <c r="C273" s="4">
        <v>2023</v>
      </c>
      <c r="D273" s="4" t="s">
        <v>19</v>
      </c>
      <c r="E273" s="4" t="s">
        <v>30</v>
      </c>
      <c r="F273" s="4">
        <v>1458</v>
      </c>
      <c r="G273" s="4">
        <v>19987722</v>
      </c>
      <c r="H273" t="str">
        <f t="shared" si="4"/>
        <v>Discount allowed</v>
      </c>
    </row>
    <row r="274" spans="1:8" x14ac:dyDescent="0.3">
      <c r="A274" s="3" t="s">
        <v>7</v>
      </c>
      <c r="B274" s="3" t="s">
        <v>15</v>
      </c>
      <c r="C274" s="4">
        <v>2023</v>
      </c>
      <c r="D274" s="4" t="s">
        <v>20</v>
      </c>
      <c r="E274" s="4" t="s">
        <v>35</v>
      </c>
      <c r="F274" s="4">
        <v>1350</v>
      </c>
      <c r="G274" s="4">
        <v>17578350</v>
      </c>
      <c r="H274" t="str">
        <f t="shared" si="4"/>
        <v>Discount allowed</v>
      </c>
    </row>
    <row r="275" spans="1:8" x14ac:dyDescent="0.3">
      <c r="A275" s="3" t="s">
        <v>8</v>
      </c>
      <c r="B275" s="3" t="s">
        <v>15</v>
      </c>
      <c r="C275" s="4">
        <v>2023</v>
      </c>
      <c r="D275" s="4" t="s">
        <v>20</v>
      </c>
      <c r="E275" s="4" t="s">
        <v>32</v>
      </c>
      <c r="F275" s="4">
        <v>875</v>
      </c>
      <c r="G275" s="4">
        <v>11991000</v>
      </c>
      <c r="H275" t="str">
        <f t="shared" si="4"/>
        <v>Discount allowed</v>
      </c>
    </row>
    <row r="276" spans="1:8" x14ac:dyDescent="0.3">
      <c r="A276" s="3" t="s">
        <v>9</v>
      </c>
      <c r="B276" s="3" t="s">
        <v>15</v>
      </c>
      <c r="C276" s="4">
        <v>2023</v>
      </c>
      <c r="D276" s="4" t="s">
        <v>20</v>
      </c>
      <c r="E276" s="4" t="s">
        <v>29</v>
      </c>
      <c r="F276" s="4">
        <v>1988</v>
      </c>
      <c r="G276" s="4">
        <v>14148596</v>
      </c>
      <c r="H276" t="str">
        <f t="shared" si="4"/>
        <v>Discount allowed</v>
      </c>
    </row>
    <row r="277" spans="1:8" x14ac:dyDescent="0.3">
      <c r="A277" s="3" t="s">
        <v>10</v>
      </c>
      <c r="B277" s="3" t="s">
        <v>16</v>
      </c>
      <c r="C277" s="4">
        <v>2023</v>
      </c>
      <c r="D277" s="4" t="s">
        <v>20</v>
      </c>
      <c r="E277" s="4" t="s">
        <v>27</v>
      </c>
      <c r="F277" s="4">
        <v>230</v>
      </c>
      <c r="G277" s="4">
        <v>5752300</v>
      </c>
      <c r="H277" t="str">
        <f t="shared" si="4"/>
        <v>No Discount</v>
      </c>
    </row>
    <row r="278" spans="1:8" x14ac:dyDescent="0.3">
      <c r="A278" s="3" t="s">
        <v>11</v>
      </c>
      <c r="B278" s="3" t="s">
        <v>15</v>
      </c>
      <c r="C278" s="4">
        <v>2023</v>
      </c>
      <c r="D278" s="4" t="s">
        <v>20</v>
      </c>
      <c r="E278" s="4" t="s">
        <v>28</v>
      </c>
      <c r="F278" s="4">
        <v>164</v>
      </c>
      <c r="G278" s="4">
        <v>1668044</v>
      </c>
      <c r="H278" t="str">
        <f t="shared" si="4"/>
        <v>No Discount</v>
      </c>
    </row>
    <row r="279" spans="1:8" x14ac:dyDescent="0.3">
      <c r="A279" s="3" t="s">
        <v>12</v>
      </c>
      <c r="B279" s="3" t="s">
        <v>15</v>
      </c>
      <c r="C279" s="4">
        <v>2023</v>
      </c>
      <c r="D279" s="4" t="s">
        <v>20</v>
      </c>
      <c r="E279" s="4" t="s">
        <v>26</v>
      </c>
      <c r="F279" s="4">
        <v>1324</v>
      </c>
      <c r="G279" s="4">
        <v>18175872</v>
      </c>
      <c r="H279" t="str">
        <f t="shared" si="4"/>
        <v>Discount allowed</v>
      </c>
    </row>
    <row r="280" spans="1:8" x14ac:dyDescent="0.3">
      <c r="A280" s="3" t="s">
        <v>13</v>
      </c>
      <c r="B280" s="3" t="s">
        <v>16</v>
      </c>
      <c r="C280" s="4">
        <v>2023</v>
      </c>
      <c r="D280" s="4" t="s">
        <v>20</v>
      </c>
      <c r="E280" s="4" t="s">
        <v>29</v>
      </c>
      <c r="F280" s="4">
        <v>1591</v>
      </c>
      <c r="G280" s="4">
        <v>39249970</v>
      </c>
      <c r="H280" t="str">
        <f t="shared" si="4"/>
        <v>Discount allowed</v>
      </c>
    </row>
    <row r="281" spans="1:8" x14ac:dyDescent="0.3">
      <c r="A281" s="3" t="s">
        <v>14</v>
      </c>
      <c r="B281" s="3" t="s">
        <v>15</v>
      </c>
      <c r="C281" s="4">
        <v>2023</v>
      </c>
      <c r="D281" s="4" t="s">
        <v>20</v>
      </c>
      <c r="E281" s="4" t="s">
        <v>33</v>
      </c>
      <c r="F281" s="4">
        <v>1321</v>
      </c>
      <c r="G281" s="4">
        <v>17075246</v>
      </c>
      <c r="H281" t="str">
        <f t="shared" si="4"/>
        <v>Discount allowed</v>
      </c>
    </row>
    <row r="282" spans="1:8" x14ac:dyDescent="0.3">
      <c r="A282" s="3" t="s">
        <v>7</v>
      </c>
      <c r="B282" s="3" t="s">
        <v>17</v>
      </c>
      <c r="C282" s="4">
        <v>2023</v>
      </c>
      <c r="D282" s="4" t="s">
        <v>21</v>
      </c>
      <c r="E282" s="4" t="s">
        <v>32</v>
      </c>
      <c r="F282" s="4">
        <v>668</v>
      </c>
      <c r="G282" s="4">
        <v>64442628</v>
      </c>
      <c r="H282" t="str">
        <f t="shared" si="4"/>
        <v>Discount allowed</v>
      </c>
    </row>
    <row r="283" spans="1:8" x14ac:dyDescent="0.3">
      <c r="A283" s="3" t="s">
        <v>8</v>
      </c>
      <c r="B283" s="3" t="s">
        <v>15</v>
      </c>
      <c r="C283" s="4">
        <v>2023</v>
      </c>
      <c r="D283" s="4" t="s">
        <v>21</v>
      </c>
      <c r="E283" s="4" t="s">
        <v>30</v>
      </c>
      <c r="F283" s="4">
        <v>1318</v>
      </c>
      <c r="G283" s="4">
        <v>18799952</v>
      </c>
      <c r="H283" t="str">
        <f t="shared" si="4"/>
        <v>Discount allowed</v>
      </c>
    </row>
    <row r="284" spans="1:8" x14ac:dyDescent="0.3">
      <c r="A284" s="3" t="s">
        <v>9</v>
      </c>
      <c r="B284" s="3" t="s">
        <v>17</v>
      </c>
      <c r="C284" s="4">
        <v>2023</v>
      </c>
      <c r="D284" s="4" t="s">
        <v>21</v>
      </c>
      <c r="E284" s="4" t="s">
        <v>32</v>
      </c>
      <c r="F284" s="4">
        <v>216</v>
      </c>
      <c r="G284" s="4">
        <v>22460976</v>
      </c>
      <c r="H284" t="str">
        <f t="shared" si="4"/>
        <v>Discount allowed</v>
      </c>
    </row>
    <row r="285" spans="1:8" x14ac:dyDescent="0.3">
      <c r="A285" s="3" t="s">
        <v>10</v>
      </c>
      <c r="B285" s="3" t="s">
        <v>15</v>
      </c>
      <c r="C285" s="4">
        <v>2023</v>
      </c>
      <c r="D285" s="4" t="s">
        <v>21</v>
      </c>
      <c r="E285" s="4" t="s">
        <v>33</v>
      </c>
      <c r="F285" s="4">
        <v>235</v>
      </c>
      <c r="G285" s="4">
        <v>2413215</v>
      </c>
      <c r="H285" t="str">
        <f t="shared" si="4"/>
        <v>No Discount</v>
      </c>
    </row>
    <row r="286" spans="1:8" x14ac:dyDescent="0.3">
      <c r="A286" s="3" t="s">
        <v>11</v>
      </c>
      <c r="B286" s="3" t="s">
        <v>15</v>
      </c>
      <c r="C286" s="4">
        <v>2023</v>
      </c>
      <c r="D286" s="4" t="s">
        <v>21</v>
      </c>
      <c r="E286" s="4" t="s">
        <v>26</v>
      </c>
      <c r="F286" s="4">
        <v>1586</v>
      </c>
      <c r="G286" s="4">
        <v>14370746</v>
      </c>
      <c r="H286" t="str">
        <f t="shared" si="4"/>
        <v>Discount allowed</v>
      </c>
    </row>
    <row r="287" spans="1:8" x14ac:dyDescent="0.3">
      <c r="A287" s="3" t="s">
        <v>12</v>
      </c>
      <c r="B287" s="3" t="s">
        <v>17</v>
      </c>
      <c r="C287" s="4">
        <v>2023</v>
      </c>
      <c r="D287" s="4" t="s">
        <v>21</v>
      </c>
      <c r="E287" s="4" t="s">
        <v>27</v>
      </c>
      <c r="F287" s="4">
        <v>1054</v>
      </c>
      <c r="G287" s="4">
        <v>118595026</v>
      </c>
      <c r="H287" t="str">
        <f t="shared" si="4"/>
        <v>Discount allowed</v>
      </c>
    </row>
    <row r="288" spans="1:8" x14ac:dyDescent="0.3">
      <c r="A288" s="3" t="s">
        <v>13</v>
      </c>
      <c r="B288" s="3" t="s">
        <v>15</v>
      </c>
      <c r="C288" s="4">
        <v>2023</v>
      </c>
      <c r="D288" s="4" t="s">
        <v>21</v>
      </c>
      <c r="E288" s="4" t="s">
        <v>32</v>
      </c>
      <c r="F288" s="4">
        <v>892</v>
      </c>
      <c r="G288" s="4">
        <v>7854952</v>
      </c>
      <c r="H288" t="str">
        <f t="shared" si="4"/>
        <v>No Discount</v>
      </c>
    </row>
    <row r="289" spans="1:8" x14ac:dyDescent="0.3">
      <c r="A289" s="3" t="s">
        <v>14</v>
      </c>
      <c r="B289" s="3" t="s">
        <v>17</v>
      </c>
      <c r="C289" s="4">
        <v>2023</v>
      </c>
      <c r="D289" s="4" t="s">
        <v>21</v>
      </c>
      <c r="E289" s="4" t="s">
        <v>33</v>
      </c>
      <c r="F289" s="4">
        <v>1560</v>
      </c>
      <c r="G289" s="4">
        <v>79820520</v>
      </c>
      <c r="H289" t="str">
        <f t="shared" si="4"/>
        <v>Discount allowed</v>
      </c>
    </row>
    <row r="290" spans="1:8" x14ac:dyDescent="0.3">
      <c r="A290" s="3" t="s">
        <v>7</v>
      </c>
      <c r="B290" s="3" t="s">
        <v>15</v>
      </c>
      <c r="C290" s="4">
        <v>2023</v>
      </c>
      <c r="D290" s="4" t="s">
        <v>22</v>
      </c>
      <c r="E290" s="4" t="s">
        <v>35</v>
      </c>
      <c r="F290" s="4">
        <v>240</v>
      </c>
      <c r="G290" s="4">
        <v>3278880</v>
      </c>
      <c r="H290" t="str">
        <f t="shared" si="4"/>
        <v>No Discount</v>
      </c>
    </row>
    <row r="291" spans="1:8" x14ac:dyDescent="0.3">
      <c r="A291" s="3" t="s">
        <v>8</v>
      </c>
      <c r="B291" s="3" t="s">
        <v>16</v>
      </c>
      <c r="C291" s="4">
        <v>2023</v>
      </c>
      <c r="D291" s="4" t="s">
        <v>22</v>
      </c>
      <c r="E291" s="4" t="s">
        <v>26</v>
      </c>
      <c r="F291" s="4">
        <v>435</v>
      </c>
      <c r="G291" s="4">
        <v>7267980</v>
      </c>
      <c r="H291" t="str">
        <f t="shared" si="4"/>
        <v>No Discount</v>
      </c>
    </row>
    <row r="292" spans="1:8" x14ac:dyDescent="0.3">
      <c r="A292" s="3" t="s">
        <v>9</v>
      </c>
      <c r="B292" s="3" t="s">
        <v>16</v>
      </c>
      <c r="C292" s="4">
        <v>2023</v>
      </c>
      <c r="D292" s="4" t="s">
        <v>22</v>
      </c>
      <c r="E292" s="4" t="s">
        <v>30</v>
      </c>
      <c r="F292" s="4">
        <v>1366</v>
      </c>
      <c r="G292" s="4">
        <v>30587472</v>
      </c>
      <c r="H292" t="str">
        <f t="shared" si="4"/>
        <v>Discount allowed</v>
      </c>
    </row>
    <row r="293" spans="1:8" x14ac:dyDescent="0.3">
      <c r="A293" s="3" t="s">
        <v>10</v>
      </c>
      <c r="B293" s="3" t="s">
        <v>17</v>
      </c>
      <c r="C293" s="4">
        <v>2023</v>
      </c>
      <c r="D293" s="4" t="s">
        <v>22</v>
      </c>
      <c r="E293" s="4" t="s">
        <v>35</v>
      </c>
      <c r="F293" s="4">
        <v>92</v>
      </c>
      <c r="G293" s="4">
        <v>7974376</v>
      </c>
      <c r="H293" t="str">
        <f t="shared" si="4"/>
        <v>No Discount</v>
      </c>
    </row>
    <row r="294" spans="1:8" x14ac:dyDescent="0.3">
      <c r="A294" s="3" t="s">
        <v>11</v>
      </c>
      <c r="B294" s="3" t="s">
        <v>15</v>
      </c>
      <c r="C294" s="4">
        <v>2023</v>
      </c>
      <c r="D294" s="4" t="s">
        <v>22</v>
      </c>
      <c r="E294" s="4" t="s">
        <v>35</v>
      </c>
      <c r="F294" s="4">
        <v>1154</v>
      </c>
      <c r="G294" s="4">
        <v>10608722</v>
      </c>
      <c r="H294" t="str">
        <f t="shared" si="4"/>
        <v>Discount allowed</v>
      </c>
    </row>
    <row r="295" spans="1:8" x14ac:dyDescent="0.3">
      <c r="A295" s="3" t="s">
        <v>12</v>
      </c>
      <c r="B295" s="3" t="s">
        <v>17</v>
      </c>
      <c r="C295" s="4">
        <v>2023</v>
      </c>
      <c r="D295" s="4" t="s">
        <v>22</v>
      </c>
      <c r="E295" s="4" t="s">
        <v>33</v>
      </c>
      <c r="F295" s="4">
        <v>1750</v>
      </c>
      <c r="G295" s="4">
        <v>169764000</v>
      </c>
      <c r="H295" t="str">
        <f t="shared" si="4"/>
        <v>Discount allowed</v>
      </c>
    </row>
    <row r="296" spans="1:8" x14ac:dyDescent="0.3">
      <c r="A296" s="3" t="s">
        <v>13</v>
      </c>
      <c r="B296" s="3" t="s">
        <v>17</v>
      </c>
      <c r="C296" s="4">
        <v>2023</v>
      </c>
      <c r="D296" s="4" t="s">
        <v>22</v>
      </c>
      <c r="E296" s="4" t="s">
        <v>26</v>
      </c>
      <c r="F296" s="4">
        <v>404</v>
      </c>
      <c r="G296" s="4">
        <v>16744184</v>
      </c>
      <c r="H296" t="str">
        <f t="shared" si="4"/>
        <v>Discount allowed</v>
      </c>
    </row>
    <row r="297" spans="1:8" x14ac:dyDescent="0.3">
      <c r="A297" s="3" t="s">
        <v>14</v>
      </c>
      <c r="B297" s="3" t="s">
        <v>16</v>
      </c>
      <c r="C297" s="4">
        <v>2023</v>
      </c>
      <c r="D297" s="4" t="s">
        <v>22</v>
      </c>
      <c r="E297" s="4" t="s">
        <v>28</v>
      </c>
      <c r="F297" s="4">
        <v>1360</v>
      </c>
      <c r="G297" s="4">
        <v>31237840</v>
      </c>
      <c r="H297" t="str">
        <f t="shared" si="4"/>
        <v>Discount allowed</v>
      </c>
    </row>
    <row r="298" spans="1:8" x14ac:dyDescent="0.3">
      <c r="A298" s="3" t="s">
        <v>7</v>
      </c>
      <c r="B298" s="3" t="s">
        <v>16</v>
      </c>
      <c r="C298" s="4">
        <v>2023</v>
      </c>
      <c r="D298" s="4" t="s">
        <v>23</v>
      </c>
      <c r="E298" s="4" t="s">
        <v>32</v>
      </c>
      <c r="F298" s="4">
        <v>1907</v>
      </c>
      <c r="G298" s="4">
        <v>73680759</v>
      </c>
      <c r="H298" t="str">
        <f t="shared" si="4"/>
        <v>Discount allowed</v>
      </c>
    </row>
    <row r="299" spans="1:8" x14ac:dyDescent="0.3">
      <c r="A299" s="3" t="s">
        <v>8</v>
      </c>
      <c r="B299" s="3" t="s">
        <v>17</v>
      </c>
      <c r="C299" s="4">
        <v>2023</v>
      </c>
      <c r="D299" s="4" t="s">
        <v>23</v>
      </c>
      <c r="E299" s="4" t="s">
        <v>33</v>
      </c>
      <c r="F299" s="4">
        <v>646</v>
      </c>
      <c r="G299" s="4">
        <v>55192948</v>
      </c>
      <c r="H299" t="str">
        <f t="shared" si="4"/>
        <v>Discount allowed</v>
      </c>
    </row>
    <row r="300" spans="1:8" x14ac:dyDescent="0.3">
      <c r="A300" s="3" t="s">
        <v>9</v>
      </c>
      <c r="B300" s="3" t="s">
        <v>16</v>
      </c>
      <c r="C300" s="4">
        <v>2023</v>
      </c>
      <c r="D300" s="4" t="s">
        <v>23</v>
      </c>
      <c r="E300" s="4" t="s">
        <v>30</v>
      </c>
      <c r="F300" s="4">
        <v>1230</v>
      </c>
      <c r="G300" s="4">
        <v>45527220</v>
      </c>
      <c r="H300" t="str">
        <f t="shared" si="4"/>
        <v>Discount allowed</v>
      </c>
    </row>
    <row r="301" spans="1:8" x14ac:dyDescent="0.3">
      <c r="A301" s="3" t="s">
        <v>10</v>
      </c>
      <c r="B301" s="3" t="s">
        <v>16</v>
      </c>
      <c r="C301" s="4">
        <v>2023</v>
      </c>
      <c r="D301" s="4" t="s">
        <v>23</v>
      </c>
      <c r="E301" s="4" t="s">
        <v>26</v>
      </c>
      <c r="F301" s="4">
        <v>682</v>
      </c>
      <c r="G301" s="4">
        <v>12756128</v>
      </c>
      <c r="H301" t="str">
        <f t="shared" si="4"/>
        <v>Discount allowed</v>
      </c>
    </row>
    <row r="302" spans="1:8" x14ac:dyDescent="0.3">
      <c r="A302" s="3" t="s">
        <v>11</v>
      </c>
      <c r="B302" s="3" t="s">
        <v>15</v>
      </c>
      <c r="C302" s="4">
        <v>2023</v>
      </c>
      <c r="D302" s="4" t="s">
        <v>23</v>
      </c>
      <c r="E302" s="4" t="s">
        <v>31</v>
      </c>
      <c r="F302" s="4">
        <v>1773</v>
      </c>
      <c r="G302" s="4">
        <v>26541810</v>
      </c>
      <c r="H302" t="str">
        <f t="shared" si="4"/>
        <v>Discount allowed</v>
      </c>
    </row>
    <row r="303" spans="1:8" x14ac:dyDescent="0.3">
      <c r="A303" s="3" t="s">
        <v>12</v>
      </c>
      <c r="B303" s="3" t="s">
        <v>15</v>
      </c>
      <c r="C303" s="4">
        <v>2023</v>
      </c>
      <c r="D303" s="4" t="s">
        <v>23</v>
      </c>
      <c r="E303" s="4" t="s">
        <v>27</v>
      </c>
      <c r="F303" s="4">
        <v>807</v>
      </c>
      <c r="G303" s="4">
        <v>12103386</v>
      </c>
      <c r="H303" t="str">
        <f t="shared" si="4"/>
        <v>Discount allowed</v>
      </c>
    </row>
    <row r="304" spans="1:8" x14ac:dyDescent="0.3">
      <c r="A304" s="3" t="s">
        <v>13</v>
      </c>
      <c r="B304" s="3" t="s">
        <v>17</v>
      </c>
      <c r="C304" s="4">
        <v>2023</v>
      </c>
      <c r="D304" s="4" t="s">
        <v>23</v>
      </c>
      <c r="E304" s="4" t="s">
        <v>34</v>
      </c>
      <c r="F304" s="4">
        <v>1948</v>
      </c>
      <c r="G304" s="4">
        <v>121605848</v>
      </c>
      <c r="H304" t="str">
        <f t="shared" si="4"/>
        <v>Discount allowed</v>
      </c>
    </row>
    <row r="305" spans="1:8" x14ac:dyDescent="0.3">
      <c r="A305" s="3" t="s">
        <v>14</v>
      </c>
      <c r="B305" s="3" t="s">
        <v>17</v>
      </c>
      <c r="C305" s="4">
        <v>2023</v>
      </c>
      <c r="D305" s="4" t="s">
        <v>23</v>
      </c>
      <c r="E305" s="4" t="s">
        <v>31</v>
      </c>
      <c r="F305" s="4">
        <v>281</v>
      </c>
      <c r="G305" s="4">
        <v>13634682</v>
      </c>
      <c r="H305" t="str">
        <f t="shared" si="4"/>
        <v>Discount allowed</v>
      </c>
    </row>
    <row r="306" spans="1:8" x14ac:dyDescent="0.3">
      <c r="A306" s="3" t="s">
        <v>7</v>
      </c>
      <c r="B306" s="3" t="s">
        <v>16</v>
      </c>
      <c r="C306" s="4">
        <v>2023</v>
      </c>
      <c r="D306" s="4" t="s">
        <v>24</v>
      </c>
      <c r="E306" s="4" t="s">
        <v>33</v>
      </c>
      <c r="F306" s="4">
        <v>1694</v>
      </c>
      <c r="G306" s="4">
        <v>40940592</v>
      </c>
      <c r="H306" t="str">
        <f t="shared" si="4"/>
        <v>Discount allowed</v>
      </c>
    </row>
    <row r="307" spans="1:8" x14ac:dyDescent="0.3">
      <c r="A307" s="3" t="s">
        <v>8</v>
      </c>
      <c r="B307" s="3" t="s">
        <v>17</v>
      </c>
      <c r="C307" s="4">
        <v>2023</v>
      </c>
      <c r="D307" s="4" t="s">
        <v>24</v>
      </c>
      <c r="E307" s="4" t="s">
        <v>26</v>
      </c>
      <c r="F307" s="4">
        <v>446</v>
      </c>
      <c r="G307" s="4">
        <v>36623736</v>
      </c>
      <c r="H307" t="str">
        <f t="shared" si="4"/>
        <v>Discount allowed</v>
      </c>
    </row>
    <row r="308" spans="1:8" x14ac:dyDescent="0.3">
      <c r="A308" s="3" t="s">
        <v>9</v>
      </c>
      <c r="B308" s="3" t="s">
        <v>17</v>
      </c>
      <c r="C308" s="4">
        <v>2023</v>
      </c>
      <c r="D308" s="4" t="s">
        <v>24</v>
      </c>
      <c r="E308" s="4" t="s">
        <v>35</v>
      </c>
      <c r="F308" s="4">
        <v>211</v>
      </c>
      <c r="G308" s="4">
        <v>17172657</v>
      </c>
      <c r="H308" t="str">
        <f t="shared" si="4"/>
        <v>Discount allowed</v>
      </c>
    </row>
    <row r="309" spans="1:8" x14ac:dyDescent="0.3">
      <c r="A309" s="3" t="s">
        <v>10</v>
      </c>
      <c r="B309" s="3" t="s">
        <v>15</v>
      </c>
      <c r="C309" s="4">
        <v>2023</v>
      </c>
      <c r="D309" s="4" t="s">
        <v>24</v>
      </c>
      <c r="E309" s="4" t="s">
        <v>33</v>
      </c>
      <c r="F309" s="4">
        <v>290</v>
      </c>
      <c r="G309" s="4">
        <v>3143600</v>
      </c>
      <c r="H309" t="str">
        <f t="shared" si="4"/>
        <v>No Discount</v>
      </c>
    </row>
    <row r="310" spans="1:8" x14ac:dyDescent="0.3">
      <c r="A310" s="3" t="s">
        <v>11</v>
      </c>
      <c r="B310" s="3" t="s">
        <v>17</v>
      </c>
      <c r="C310" s="4">
        <v>2023</v>
      </c>
      <c r="D310" s="4" t="s">
        <v>24</v>
      </c>
      <c r="E310" s="4" t="s">
        <v>35</v>
      </c>
      <c r="F310" s="4">
        <v>466</v>
      </c>
      <c r="G310" s="4">
        <v>31493678</v>
      </c>
      <c r="H310" t="str">
        <f t="shared" si="4"/>
        <v>Discount allowed</v>
      </c>
    </row>
    <row r="311" spans="1:8" x14ac:dyDescent="0.3">
      <c r="A311" s="3" t="s">
        <v>12</v>
      </c>
      <c r="B311" s="3" t="s">
        <v>15</v>
      </c>
      <c r="C311" s="4">
        <v>2023</v>
      </c>
      <c r="D311" s="4" t="s">
        <v>24</v>
      </c>
      <c r="E311" s="4" t="s">
        <v>28</v>
      </c>
      <c r="F311" s="4">
        <v>1478</v>
      </c>
      <c r="G311" s="4">
        <v>13325648</v>
      </c>
      <c r="H311" t="str">
        <f t="shared" si="4"/>
        <v>Discount allowed</v>
      </c>
    </row>
    <row r="312" spans="1:8" x14ac:dyDescent="0.3">
      <c r="A312" s="3" t="s">
        <v>13</v>
      </c>
      <c r="B312" s="3" t="s">
        <v>15</v>
      </c>
      <c r="C312" s="4">
        <v>2023</v>
      </c>
      <c r="D312" s="4" t="s">
        <v>24</v>
      </c>
      <c r="E312" s="4" t="s">
        <v>27</v>
      </c>
      <c r="F312" s="4">
        <v>1413</v>
      </c>
      <c r="G312" s="4">
        <v>15333876</v>
      </c>
      <c r="H312" t="str">
        <f t="shared" si="4"/>
        <v>Discount allowed</v>
      </c>
    </row>
    <row r="313" spans="1:8" x14ac:dyDescent="0.3">
      <c r="A313" s="3" t="s">
        <v>14</v>
      </c>
      <c r="B313" s="3" t="s">
        <v>15</v>
      </c>
      <c r="C313" s="4">
        <v>2023</v>
      </c>
      <c r="D313" s="4" t="s">
        <v>24</v>
      </c>
      <c r="E313" s="4" t="s">
        <v>28</v>
      </c>
      <c r="F313" s="4">
        <v>1511</v>
      </c>
      <c r="G313" s="4">
        <v>14955878</v>
      </c>
      <c r="H313" t="str">
        <f t="shared" si="4"/>
        <v>Discount allowed</v>
      </c>
    </row>
    <row r="314" spans="1:8" x14ac:dyDescent="0.3">
      <c r="A314" s="3" t="s">
        <v>7</v>
      </c>
      <c r="B314" s="3" t="s">
        <v>17</v>
      </c>
      <c r="C314" s="4">
        <v>2023</v>
      </c>
      <c r="D314" s="4" t="s">
        <v>25</v>
      </c>
      <c r="E314" s="4" t="s">
        <v>28</v>
      </c>
      <c r="F314" s="4">
        <v>183</v>
      </c>
      <c r="G314" s="4">
        <v>14819889</v>
      </c>
      <c r="H314" t="str">
        <f t="shared" si="4"/>
        <v>Discount allowed</v>
      </c>
    </row>
    <row r="315" spans="1:8" x14ac:dyDescent="0.3">
      <c r="A315" s="3" t="s">
        <v>8</v>
      </c>
      <c r="B315" s="3" t="s">
        <v>16</v>
      </c>
      <c r="C315" s="4">
        <v>2023</v>
      </c>
      <c r="D315" s="4" t="s">
        <v>25</v>
      </c>
      <c r="E315" s="4" t="s">
        <v>29</v>
      </c>
      <c r="F315" s="4">
        <v>683</v>
      </c>
      <c r="G315" s="4">
        <v>22409230</v>
      </c>
      <c r="H315" t="str">
        <f t="shared" si="4"/>
        <v>Discount allowed</v>
      </c>
    </row>
    <row r="316" spans="1:8" x14ac:dyDescent="0.3">
      <c r="A316" s="3" t="s">
        <v>9</v>
      </c>
      <c r="B316" s="3" t="s">
        <v>17</v>
      </c>
      <c r="C316" s="4">
        <v>2023</v>
      </c>
      <c r="D316" s="4" t="s">
        <v>25</v>
      </c>
      <c r="E316" s="4" t="s">
        <v>28</v>
      </c>
      <c r="F316" s="4">
        <v>289</v>
      </c>
      <c r="G316" s="4">
        <v>14965576</v>
      </c>
      <c r="H316" t="str">
        <f t="shared" si="4"/>
        <v>Discount allowed</v>
      </c>
    </row>
    <row r="317" spans="1:8" x14ac:dyDescent="0.3">
      <c r="A317" s="3" t="s">
        <v>10</v>
      </c>
      <c r="B317" s="3" t="s">
        <v>16</v>
      </c>
      <c r="C317" s="4">
        <v>2023</v>
      </c>
      <c r="D317" s="4" t="s">
        <v>25</v>
      </c>
      <c r="E317" s="4" t="s">
        <v>31</v>
      </c>
      <c r="F317" s="4">
        <v>636</v>
      </c>
      <c r="G317" s="4">
        <v>20534532</v>
      </c>
      <c r="H317" t="str">
        <f t="shared" si="4"/>
        <v>Discount allowed</v>
      </c>
    </row>
    <row r="318" spans="1:8" x14ac:dyDescent="0.3">
      <c r="A318" s="3" t="s">
        <v>11</v>
      </c>
      <c r="B318" s="3" t="s">
        <v>15</v>
      </c>
      <c r="C318" s="4">
        <v>2023</v>
      </c>
      <c r="D318" s="4" t="s">
        <v>25</v>
      </c>
      <c r="E318" s="4" t="s">
        <v>35</v>
      </c>
      <c r="F318" s="4">
        <v>906</v>
      </c>
      <c r="G318" s="4">
        <v>7043244</v>
      </c>
      <c r="H318" t="str">
        <f t="shared" si="4"/>
        <v>No Discount</v>
      </c>
    </row>
    <row r="319" spans="1:8" x14ac:dyDescent="0.3">
      <c r="A319" s="3" t="s">
        <v>12</v>
      </c>
      <c r="B319" s="3" t="s">
        <v>17</v>
      </c>
      <c r="C319" s="4">
        <v>2023</v>
      </c>
      <c r="D319" s="4" t="s">
        <v>25</v>
      </c>
      <c r="E319" s="4" t="s">
        <v>31</v>
      </c>
      <c r="F319" s="4">
        <v>1773</v>
      </c>
      <c r="G319" s="4">
        <v>178775136</v>
      </c>
      <c r="H319" t="str">
        <f t="shared" si="4"/>
        <v>Discount allowed</v>
      </c>
    </row>
    <row r="320" spans="1:8" x14ac:dyDescent="0.3">
      <c r="A320" s="3" t="s">
        <v>13</v>
      </c>
      <c r="B320" s="3" t="s">
        <v>17</v>
      </c>
      <c r="C320" s="4">
        <v>2023</v>
      </c>
      <c r="D320" s="4" t="s">
        <v>25</v>
      </c>
      <c r="E320" s="4" t="s">
        <v>33</v>
      </c>
      <c r="F320" s="4">
        <v>486</v>
      </c>
      <c r="G320" s="4">
        <v>23069448</v>
      </c>
      <c r="H320" t="str">
        <f t="shared" si="4"/>
        <v>Discount allowed</v>
      </c>
    </row>
    <row r="321" spans="1:8" x14ac:dyDescent="0.3">
      <c r="A321" s="3" t="s">
        <v>14</v>
      </c>
      <c r="B321" s="3" t="s">
        <v>16</v>
      </c>
      <c r="C321" s="4">
        <v>2023</v>
      </c>
      <c r="D321" s="4" t="s">
        <v>25</v>
      </c>
      <c r="E321" s="4" t="s">
        <v>32</v>
      </c>
      <c r="F321" s="4">
        <v>252</v>
      </c>
      <c r="G321" s="4">
        <v>5966604</v>
      </c>
      <c r="H321" t="str">
        <f t="shared" si="4"/>
        <v>No Discount</v>
      </c>
    </row>
    <row r="322" spans="1:8" x14ac:dyDescent="0.3">
      <c r="A322" s="3" t="s">
        <v>7</v>
      </c>
      <c r="B322" s="3" t="s">
        <v>15</v>
      </c>
      <c r="C322" s="4">
        <v>2024</v>
      </c>
      <c r="D322" s="4" t="s">
        <v>18</v>
      </c>
      <c r="E322" s="4" t="s">
        <v>30</v>
      </c>
      <c r="F322" s="4">
        <v>1962</v>
      </c>
      <c r="G322" s="4">
        <v>16867314</v>
      </c>
      <c r="H322" t="str">
        <f t="shared" si="4"/>
        <v>Discount allowed</v>
      </c>
    </row>
    <row r="323" spans="1:8" x14ac:dyDescent="0.3">
      <c r="A323" s="3" t="s">
        <v>8</v>
      </c>
      <c r="B323" s="3" t="s">
        <v>15</v>
      </c>
      <c r="C323" s="4">
        <v>2024</v>
      </c>
      <c r="D323" s="4" t="s">
        <v>18</v>
      </c>
      <c r="E323" s="4" t="s">
        <v>34</v>
      </c>
      <c r="F323" s="4">
        <v>748</v>
      </c>
      <c r="G323" s="4">
        <v>8218276</v>
      </c>
      <c r="H323" t="str">
        <f t="shared" ref="H323:H385" si="5">IF(G323&gt;10000000,"Discount allowed","No Discount")</f>
        <v>No Discount</v>
      </c>
    </row>
    <row r="324" spans="1:8" x14ac:dyDescent="0.3">
      <c r="A324" s="3" t="s">
        <v>9</v>
      </c>
      <c r="B324" s="3" t="s">
        <v>16</v>
      </c>
      <c r="C324" s="4">
        <v>2024</v>
      </c>
      <c r="D324" s="4" t="s">
        <v>18</v>
      </c>
      <c r="E324" s="4" t="s">
        <v>35</v>
      </c>
      <c r="F324" s="4">
        <v>881</v>
      </c>
      <c r="G324" s="4">
        <v>20858556</v>
      </c>
      <c r="H324" t="str">
        <f t="shared" si="5"/>
        <v>Discount allowed</v>
      </c>
    </row>
    <row r="325" spans="1:8" x14ac:dyDescent="0.3">
      <c r="A325" s="3" t="s">
        <v>10</v>
      </c>
      <c r="B325" s="3" t="s">
        <v>17</v>
      </c>
      <c r="C325" s="4">
        <v>2024</v>
      </c>
      <c r="D325" s="4" t="s">
        <v>18</v>
      </c>
      <c r="E325" s="4" t="s">
        <v>34</v>
      </c>
      <c r="F325" s="4">
        <v>738</v>
      </c>
      <c r="G325" s="4">
        <v>51795054</v>
      </c>
      <c r="H325" t="str">
        <f t="shared" si="5"/>
        <v>Discount allowed</v>
      </c>
    </row>
    <row r="326" spans="1:8" x14ac:dyDescent="0.3">
      <c r="A326" s="3" t="s">
        <v>11</v>
      </c>
      <c r="B326" s="3" t="s">
        <v>15</v>
      </c>
      <c r="C326" s="4">
        <v>2024</v>
      </c>
      <c r="D326" s="4" t="s">
        <v>18</v>
      </c>
      <c r="E326" s="4" t="s">
        <v>27</v>
      </c>
      <c r="F326" s="4">
        <v>291</v>
      </c>
      <c r="G326" s="4">
        <v>3420414</v>
      </c>
      <c r="H326" t="str">
        <f t="shared" si="5"/>
        <v>No Discount</v>
      </c>
    </row>
    <row r="327" spans="1:8" x14ac:dyDescent="0.3">
      <c r="A327" s="3" t="s">
        <v>12</v>
      </c>
      <c r="B327" s="3" t="s">
        <v>16</v>
      </c>
      <c r="C327" s="4">
        <v>2024</v>
      </c>
      <c r="D327" s="4" t="s">
        <v>18</v>
      </c>
      <c r="E327" s="4" t="s">
        <v>27</v>
      </c>
      <c r="F327" s="4">
        <v>574</v>
      </c>
      <c r="G327" s="4">
        <v>21325248</v>
      </c>
      <c r="H327" t="str">
        <f t="shared" si="5"/>
        <v>Discount allowed</v>
      </c>
    </row>
    <row r="328" spans="1:8" x14ac:dyDescent="0.3">
      <c r="A328" s="3" t="s">
        <v>13</v>
      </c>
      <c r="B328" s="3" t="s">
        <v>16</v>
      </c>
      <c r="C328" s="4">
        <v>2024</v>
      </c>
      <c r="D328" s="4" t="s">
        <v>18</v>
      </c>
      <c r="E328" s="4" t="s">
        <v>27</v>
      </c>
      <c r="F328" s="4">
        <v>1033</v>
      </c>
      <c r="G328" s="4">
        <v>35185013</v>
      </c>
      <c r="H328" t="str">
        <f t="shared" si="5"/>
        <v>Discount allowed</v>
      </c>
    </row>
    <row r="329" spans="1:8" x14ac:dyDescent="0.3">
      <c r="A329" s="3" t="s">
        <v>14</v>
      </c>
      <c r="B329" s="3" t="s">
        <v>16</v>
      </c>
      <c r="C329" s="4">
        <v>2024</v>
      </c>
      <c r="D329" s="4" t="s">
        <v>18</v>
      </c>
      <c r="E329" s="4" t="s">
        <v>28</v>
      </c>
      <c r="F329" s="4">
        <v>417</v>
      </c>
      <c r="G329" s="4">
        <v>10153116</v>
      </c>
      <c r="H329" t="str">
        <f t="shared" si="5"/>
        <v>Discount allowed</v>
      </c>
    </row>
    <row r="330" spans="1:8" x14ac:dyDescent="0.3">
      <c r="A330" s="3" t="s">
        <v>7</v>
      </c>
      <c r="B330" s="3" t="s">
        <v>17</v>
      </c>
      <c r="C330" s="4">
        <v>2024</v>
      </c>
      <c r="D330" s="4" t="s">
        <v>19</v>
      </c>
      <c r="E330" s="4" t="s">
        <v>30</v>
      </c>
      <c r="F330" s="4">
        <v>1932</v>
      </c>
      <c r="G330" s="4">
        <v>173041512</v>
      </c>
      <c r="H330" t="str">
        <f t="shared" si="5"/>
        <v>Discount allowed</v>
      </c>
    </row>
    <row r="331" spans="1:8" x14ac:dyDescent="0.3">
      <c r="A331" s="3" t="s">
        <v>8</v>
      </c>
      <c r="B331" s="3" t="s">
        <v>15</v>
      </c>
      <c r="C331" s="4">
        <v>2024</v>
      </c>
      <c r="D331" s="4" t="s">
        <v>19</v>
      </c>
      <c r="E331" s="4" t="s">
        <v>31</v>
      </c>
      <c r="F331" s="4">
        <v>493</v>
      </c>
      <c r="G331" s="4">
        <v>6777271</v>
      </c>
      <c r="H331" t="str">
        <f t="shared" si="5"/>
        <v>No Discount</v>
      </c>
    </row>
    <row r="332" spans="1:8" x14ac:dyDescent="0.3">
      <c r="A332" s="3" t="s">
        <v>9</v>
      </c>
      <c r="B332" s="3" t="s">
        <v>17</v>
      </c>
      <c r="C332" s="4">
        <v>2024</v>
      </c>
      <c r="D332" s="4" t="s">
        <v>19</v>
      </c>
      <c r="E332" s="4" t="s">
        <v>28</v>
      </c>
      <c r="F332" s="4">
        <v>1099</v>
      </c>
      <c r="G332" s="4">
        <v>47047091</v>
      </c>
      <c r="H332" t="str">
        <f t="shared" si="5"/>
        <v>Discount allowed</v>
      </c>
    </row>
    <row r="333" spans="1:8" x14ac:dyDescent="0.3">
      <c r="A333" s="3" t="s">
        <v>10</v>
      </c>
      <c r="B333" s="3" t="s">
        <v>17</v>
      </c>
      <c r="C333" s="4">
        <v>2024</v>
      </c>
      <c r="D333" s="4" t="s">
        <v>19</v>
      </c>
      <c r="E333" s="4" t="s">
        <v>29</v>
      </c>
      <c r="F333" s="4">
        <v>1119</v>
      </c>
      <c r="G333" s="4">
        <v>118511052</v>
      </c>
      <c r="H333" t="str">
        <f t="shared" si="5"/>
        <v>Discount allowed</v>
      </c>
    </row>
    <row r="334" spans="1:8" x14ac:dyDescent="0.3">
      <c r="A334" s="3" t="s">
        <v>11</v>
      </c>
      <c r="B334" s="3" t="s">
        <v>16</v>
      </c>
      <c r="C334" s="4">
        <v>2024</v>
      </c>
      <c r="D334" s="4" t="s">
        <v>19</v>
      </c>
      <c r="E334" s="4" t="s">
        <v>33</v>
      </c>
      <c r="F334" s="4">
        <v>566</v>
      </c>
      <c r="G334" s="4">
        <v>14824672</v>
      </c>
      <c r="H334" t="str">
        <f t="shared" si="5"/>
        <v>Discount allowed</v>
      </c>
    </row>
    <row r="335" spans="1:8" x14ac:dyDescent="0.3">
      <c r="A335" s="3" t="s">
        <v>12</v>
      </c>
      <c r="B335" s="3" t="s">
        <v>17</v>
      </c>
      <c r="C335" s="4">
        <v>2024</v>
      </c>
      <c r="D335" s="4" t="s">
        <v>19</v>
      </c>
      <c r="E335" s="4" t="s">
        <v>26</v>
      </c>
      <c r="F335" s="4">
        <v>117</v>
      </c>
      <c r="G335" s="4">
        <v>7975071</v>
      </c>
      <c r="H335" t="str">
        <f t="shared" si="5"/>
        <v>No Discount</v>
      </c>
    </row>
    <row r="336" spans="1:8" x14ac:dyDescent="0.3">
      <c r="A336" s="3" t="s">
        <v>13</v>
      </c>
      <c r="B336" s="3" t="s">
        <v>15</v>
      </c>
      <c r="C336" s="4">
        <v>2024</v>
      </c>
      <c r="D336" s="4" t="s">
        <v>19</v>
      </c>
      <c r="E336" s="4" t="s">
        <v>28</v>
      </c>
      <c r="F336" s="4">
        <v>1220</v>
      </c>
      <c r="G336" s="4">
        <v>13504180</v>
      </c>
      <c r="H336" t="str">
        <f t="shared" si="5"/>
        <v>Discount allowed</v>
      </c>
    </row>
    <row r="337" spans="1:8" x14ac:dyDescent="0.3">
      <c r="A337" s="3" t="s">
        <v>14</v>
      </c>
      <c r="B337" s="3" t="s">
        <v>17</v>
      </c>
      <c r="C337" s="4">
        <v>2024</v>
      </c>
      <c r="D337" s="4" t="s">
        <v>19</v>
      </c>
      <c r="E337" s="4" t="s">
        <v>26</v>
      </c>
      <c r="F337" s="4">
        <v>1416</v>
      </c>
      <c r="G337" s="4">
        <v>108360816</v>
      </c>
      <c r="H337" t="str">
        <f t="shared" si="5"/>
        <v>Discount allowed</v>
      </c>
    </row>
    <row r="338" spans="1:8" x14ac:dyDescent="0.3">
      <c r="A338" s="3" t="s">
        <v>7</v>
      </c>
      <c r="B338" s="3" t="s">
        <v>16</v>
      </c>
      <c r="C338" s="4">
        <v>2024</v>
      </c>
      <c r="D338" s="4" t="s">
        <v>20</v>
      </c>
      <c r="E338" s="4" t="s">
        <v>28</v>
      </c>
      <c r="F338" s="4">
        <v>472</v>
      </c>
      <c r="G338" s="4">
        <v>18065328</v>
      </c>
      <c r="H338" t="str">
        <f t="shared" si="5"/>
        <v>Discount allowed</v>
      </c>
    </row>
    <row r="339" spans="1:8" x14ac:dyDescent="0.3">
      <c r="A339" s="3" t="s">
        <v>8</v>
      </c>
      <c r="B339" s="3" t="s">
        <v>16</v>
      </c>
      <c r="C339" s="4">
        <v>2024</v>
      </c>
      <c r="D339" s="4" t="s">
        <v>20</v>
      </c>
      <c r="E339" s="4" t="s">
        <v>27</v>
      </c>
      <c r="F339" s="4">
        <v>236</v>
      </c>
      <c r="G339" s="4">
        <v>8701084</v>
      </c>
      <c r="H339" t="str">
        <f t="shared" si="5"/>
        <v>No Discount</v>
      </c>
    </row>
    <row r="340" spans="1:8" x14ac:dyDescent="0.3">
      <c r="A340" s="3" t="s">
        <v>9</v>
      </c>
      <c r="B340" s="3" t="s">
        <v>15</v>
      </c>
      <c r="C340" s="4">
        <v>2024</v>
      </c>
      <c r="D340" s="4" t="s">
        <v>20</v>
      </c>
      <c r="E340" s="4" t="s">
        <v>35</v>
      </c>
      <c r="F340" s="4">
        <v>492</v>
      </c>
      <c r="G340" s="4">
        <v>4222344</v>
      </c>
      <c r="H340" t="str">
        <f t="shared" si="5"/>
        <v>No Discount</v>
      </c>
    </row>
    <row r="341" spans="1:8" x14ac:dyDescent="0.3">
      <c r="A341" s="3" t="s">
        <v>10</v>
      </c>
      <c r="B341" s="3" t="s">
        <v>17</v>
      </c>
      <c r="C341" s="4">
        <v>2024</v>
      </c>
      <c r="D341" s="4" t="s">
        <v>20</v>
      </c>
      <c r="E341" s="4" t="s">
        <v>34</v>
      </c>
      <c r="F341" s="4">
        <v>981</v>
      </c>
      <c r="G341" s="4">
        <v>50609790</v>
      </c>
      <c r="H341" t="str">
        <f t="shared" si="5"/>
        <v>Discount allowed</v>
      </c>
    </row>
    <row r="342" spans="1:8" x14ac:dyDescent="0.3">
      <c r="A342" s="3" t="s">
        <v>11</v>
      </c>
      <c r="B342" s="3" t="s">
        <v>15</v>
      </c>
      <c r="C342" s="4">
        <v>2024</v>
      </c>
      <c r="D342" s="4" t="s">
        <v>20</v>
      </c>
      <c r="E342" s="4" t="s">
        <v>26</v>
      </c>
      <c r="F342" s="4">
        <v>1348</v>
      </c>
      <c r="G342" s="4">
        <v>11982372</v>
      </c>
      <c r="H342" t="str">
        <f t="shared" si="5"/>
        <v>Discount allowed</v>
      </c>
    </row>
    <row r="343" spans="1:8" x14ac:dyDescent="0.3">
      <c r="A343" s="3" t="s">
        <v>12</v>
      </c>
      <c r="B343" s="3" t="s">
        <v>16</v>
      </c>
      <c r="C343" s="4">
        <v>2024</v>
      </c>
      <c r="D343" s="4" t="s">
        <v>20</v>
      </c>
      <c r="E343" s="4" t="s">
        <v>29</v>
      </c>
      <c r="F343" s="4">
        <v>1327</v>
      </c>
      <c r="G343" s="4">
        <v>25137361</v>
      </c>
      <c r="H343" t="str">
        <f t="shared" si="5"/>
        <v>Discount allowed</v>
      </c>
    </row>
    <row r="344" spans="1:8" x14ac:dyDescent="0.3">
      <c r="A344" s="3" t="s">
        <v>13</v>
      </c>
      <c r="B344" s="3" t="s">
        <v>16</v>
      </c>
      <c r="C344" s="4">
        <v>2024</v>
      </c>
      <c r="D344" s="4" t="s">
        <v>20</v>
      </c>
      <c r="E344" s="4" t="s">
        <v>27</v>
      </c>
      <c r="F344" s="4">
        <v>621</v>
      </c>
      <c r="G344" s="4">
        <v>19172754</v>
      </c>
      <c r="H344" t="str">
        <f t="shared" si="5"/>
        <v>Discount allowed</v>
      </c>
    </row>
    <row r="345" spans="1:8" x14ac:dyDescent="0.3">
      <c r="A345" s="3" t="s">
        <v>14</v>
      </c>
      <c r="B345" s="3" t="s">
        <v>16</v>
      </c>
      <c r="C345" s="4">
        <v>2024</v>
      </c>
      <c r="D345" s="4" t="s">
        <v>20</v>
      </c>
      <c r="E345" s="4" t="s">
        <v>27</v>
      </c>
      <c r="F345" s="4">
        <v>756</v>
      </c>
      <c r="G345" s="4">
        <v>17707032</v>
      </c>
      <c r="H345" t="str">
        <f t="shared" si="5"/>
        <v>Discount allowed</v>
      </c>
    </row>
    <row r="346" spans="1:8" x14ac:dyDescent="0.3">
      <c r="A346" s="3" t="s">
        <v>7</v>
      </c>
      <c r="B346" s="3" t="s">
        <v>15</v>
      </c>
      <c r="C346" s="4">
        <v>2024</v>
      </c>
      <c r="D346" s="4" t="s">
        <v>21</v>
      </c>
      <c r="E346" s="4" t="s">
        <v>34</v>
      </c>
      <c r="F346" s="4">
        <v>1039</v>
      </c>
      <c r="G346" s="4">
        <v>8747341</v>
      </c>
      <c r="H346" t="str">
        <f t="shared" si="5"/>
        <v>No Discount</v>
      </c>
    </row>
    <row r="347" spans="1:8" x14ac:dyDescent="0.3">
      <c r="A347" s="3" t="s">
        <v>8</v>
      </c>
      <c r="B347" s="3" t="s">
        <v>17</v>
      </c>
      <c r="C347" s="4">
        <v>2024</v>
      </c>
      <c r="D347" s="4" t="s">
        <v>21</v>
      </c>
      <c r="E347" s="4" t="s">
        <v>34</v>
      </c>
      <c r="F347" s="4">
        <v>452</v>
      </c>
      <c r="G347" s="4">
        <v>54134684</v>
      </c>
      <c r="H347" t="str">
        <f t="shared" si="5"/>
        <v>Discount allowed</v>
      </c>
    </row>
    <row r="348" spans="1:8" x14ac:dyDescent="0.3">
      <c r="A348" s="3" t="s">
        <v>9</v>
      </c>
      <c r="B348" s="3" t="s">
        <v>15</v>
      </c>
      <c r="C348" s="4">
        <v>2024</v>
      </c>
      <c r="D348" s="4" t="s">
        <v>21</v>
      </c>
      <c r="E348" s="4" t="s">
        <v>27</v>
      </c>
      <c r="F348" s="4">
        <v>1863</v>
      </c>
      <c r="G348" s="4">
        <v>25994439</v>
      </c>
      <c r="H348" t="str">
        <f t="shared" si="5"/>
        <v>Discount allowed</v>
      </c>
    </row>
    <row r="349" spans="1:8" x14ac:dyDescent="0.3">
      <c r="A349" s="3" t="s">
        <v>10</v>
      </c>
      <c r="B349" s="3" t="s">
        <v>15</v>
      </c>
      <c r="C349" s="4">
        <v>2024</v>
      </c>
      <c r="D349" s="4" t="s">
        <v>21</v>
      </c>
      <c r="E349" s="4" t="s">
        <v>34</v>
      </c>
      <c r="F349" s="4">
        <v>127</v>
      </c>
      <c r="G349" s="4">
        <v>1712849</v>
      </c>
      <c r="H349" t="str">
        <f t="shared" si="5"/>
        <v>No Discount</v>
      </c>
    </row>
    <row r="350" spans="1:8" x14ac:dyDescent="0.3">
      <c r="A350" s="3" t="s">
        <v>11</v>
      </c>
      <c r="B350" s="3" t="s">
        <v>16</v>
      </c>
      <c r="C350" s="4">
        <v>2024</v>
      </c>
      <c r="D350" s="4" t="s">
        <v>21</v>
      </c>
      <c r="E350" s="4" t="s">
        <v>26</v>
      </c>
      <c r="F350" s="4">
        <v>199</v>
      </c>
      <c r="G350" s="4">
        <v>3199323</v>
      </c>
      <c r="H350" t="str">
        <f t="shared" si="5"/>
        <v>No Discount</v>
      </c>
    </row>
    <row r="351" spans="1:8" x14ac:dyDescent="0.3">
      <c r="A351" s="3" t="s">
        <v>12</v>
      </c>
      <c r="B351" s="3" t="s">
        <v>16</v>
      </c>
      <c r="C351" s="4">
        <v>2024</v>
      </c>
      <c r="D351" s="4" t="s">
        <v>21</v>
      </c>
      <c r="E351" s="4" t="s">
        <v>28</v>
      </c>
      <c r="F351" s="4">
        <v>1419</v>
      </c>
      <c r="G351" s="4">
        <v>32158797</v>
      </c>
      <c r="H351" t="str">
        <f t="shared" si="5"/>
        <v>Discount allowed</v>
      </c>
    </row>
    <row r="352" spans="1:8" x14ac:dyDescent="0.3">
      <c r="A352" s="3" t="s">
        <v>13</v>
      </c>
      <c r="B352" s="3" t="s">
        <v>17</v>
      </c>
      <c r="C352" s="4">
        <v>2024</v>
      </c>
      <c r="D352" s="4" t="s">
        <v>21</v>
      </c>
      <c r="E352" s="4" t="s">
        <v>29</v>
      </c>
      <c r="F352" s="4">
        <v>583</v>
      </c>
      <c r="G352" s="4">
        <v>44163416</v>
      </c>
      <c r="H352" t="str">
        <f t="shared" si="5"/>
        <v>Discount allowed</v>
      </c>
    </row>
    <row r="353" spans="1:8" x14ac:dyDescent="0.3">
      <c r="A353" s="3" t="s">
        <v>14</v>
      </c>
      <c r="B353" s="3" t="s">
        <v>15</v>
      </c>
      <c r="C353" s="4">
        <v>2024</v>
      </c>
      <c r="D353" s="4" t="s">
        <v>21</v>
      </c>
      <c r="E353" s="4" t="s">
        <v>33</v>
      </c>
      <c r="F353" s="4">
        <v>655</v>
      </c>
      <c r="G353" s="4">
        <v>8448845</v>
      </c>
      <c r="H353" t="str">
        <f t="shared" si="5"/>
        <v>No Discount</v>
      </c>
    </row>
    <row r="354" spans="1:8" x14ac:dyDescent="0.3">
      <c r="A354" s="3" t="s">
        <v>7</v>
      </c>
      <c r="B354" s="3" t="s">
        <v>16</v>
      </c>
      <c r="C354" s="4">
        <v>2024</v>
      </c>
      <c r="D354" s="4" t="s">
        <v>22</v>
      </c>
      <c r="E354" s="4" t="s">
        <v>28</v>
      </c>
      <c r="F354" s="4">
        <v>1050</v>
      </c>
      <c r="G354" s="4">
        <v>32817750</v>
      </c>
      <c r="H354" t="str">
        <f t="shared" si="5"/>
        <v>Discount allowed</v>
      </c>
    </row>
    <row r="355" spans="1:8" x14ac:dyDescent="0.3">
      <c r="A355" s="3" t="s">
        <v>8</v>
      </c>
      <c r="B355" s="3" t="s">
        <v>15</v>
      </c>
      <c r="C355" s="4">
        <v>2024</v>
      </c>
      <c r="D355" s="4" t="s">
        <v>22</v>
      </c>
      <c r="E355" s="4" t="s">
        <v>35</v>
      </c>
      <c r="F355" s="4">
        <v>1891</v>
      </c>
      <c r="G355" s="4">
        <v>21935600</v>
      </c>
      <c r="H355" t="str">
        <f t="shared" si="5"/>
        <v>Discount allowed</v>
      </c>
    </row>
    <row r="356" spans="1:8" x14ac:dyDescent="0.3">
      <c r="A356" s="3" t="s">
        <v>9</v>
      </c>
      <c r="B356" s="3" t="s">
        <v>16</v>
      </c>
      <c r="C356" s="4">
        <v>2024</v>
      </c>
      <c r="D356" s="4" t="s">
        <v>22</v>
      </c>
      <c r="E356" s="4" t="s">
        <v>31</v>
      </c>
      <c r="F356" s="4">
        <v>254</v>
      </c>
      <c r="G356" s="4">
        <v>7597394</v>
      </c>
      <c r="H356" t="str">
        <f t="shared" si="5"/>
        <v>No Discount</v>
      </c>
    </row>
    <row r="357" spans="1:8" x14ac:dyDescent="0.3">
      <c r="A357" s="3" t="s">
        <v>10</v>
      </c>
      <c r="B357" s="3" t="s">
        <v>17</v>
      </c>
      <c r="C357" s="4">
        <v>2024</v>
      </c>
      <c r="D357" s="4" t="s">
        <v>22</v>
      </c>
      <c r="E357" s="4" t="s">
        <v>35</v>
      </c>
      <c r="F357" s="4">
        <v>1489</v>
      </c>
      <c r="G357" s="4">
        <v>101457482</v>
      </c>
      <c r="H357" t="str">
        <f t="shared" si="5"/>
        <v>Discount allowed</v>
      </c>
    </row>
    <row r="358" spans="1:8" x14ac:dyDescent="0.3">
      <c r="A358" s="3" t="s">
        <v>11</v>
      </c>
      <c r="B358" s="3" t="s">
        <v>17</v>
      </c>
      <c r="C358" s="4">
        <v>2024</v>
      </c>
      <c r="D358" s="4" t="s">
        <v>22</v>
      </c>
      <c r="E358" s="4" t="s">
        <v>27</v>
      </c>
      <c r="F358" s="4">
        <v>1442</v>
      </c>
      <c r="G358" s="4">
        <v>157307780</v>
      </c>
      <c r="H358" t="str">
        <f t="shared" si="5"/>
        <v>Discount allowed</v>
      </c>
    </row>
    <row r="359" spans="1:8" x14ac:dyDescent="0.3">
      <c r="A359" s="3" t="s">
        <v>12</v>
      </c>
      <c r="B359" s="3" t="s">
        <v>16</v>
      </c>
      <c r="C359" s="4">
        <v>2024</v>
      </c>
      <c r="D359" s="4" t="s">
        <v>22</v>
      </c>
      <c r="E359" s="4" t="s">
        <v>35</v>
      </c>
      <c r="F359" s="4">
        <v>1381</v>
      </c>
      <c r="G359" s="4">
        <v>32300209</v>
      </c>
      <c r="H359" t="str">
        <f t="shared" si="5"/>
        <v>Discount allowed</v>
      </c>
    </row>
    <row r="360" spans="1:8" x14ac:dyDescent="0.3">
      <c r="A360" s="3" t="s">
        <v>13</v>
      </c>
      <c r="B360" s="3" t="s">
        <v>15</v>
      </c>
      <c r="C360" s="4">
        <v>2024</v>
      </c>
      <c r="D360" s="4" t="s">
        <v>22</v>
      </c>
      <c r="E360" s="4" t="s">
        <v>34</v>
      </c>
      <c r="F360" s="4">
        <v>1153</v>
      </c>
      <c r="G360" s="4">
        <v>8355791</v>
      </c>
      <c r="H360" t="str">
        <f t="shared" si="5"/>
        <v>No Discount</v>
      </c>
    </row>
    <row r="361" spans="1:8" x14ac:dyDescent="0.3">
      <c r="A361" s="3" t="s">
        <v>14</v>
      </c>
      <c r="B361" s="3" t="s">
        <v>16</v>
      </c>
      <c r="C361" s="4">
        <v>2024</v>
      </c>
      <c r="D361" s="4" t="s">
        <v>22</v>
      </c>
      <c r="E361" s="4" t="s">
        <v>34</v>
      </c>
      <c r="F361" s="4">
        <v>1363</v>
      </c>
      <c r="G361" s="4">
        <v>23303211</v>
      </c>
      <c r="H361" t="str">
        <f t="shared" si="5"/>
        <v>Discount allowed</v>
      </c>
    </row>
    <row r="362" spans="1:8" x14ac:dyDescent="0.3">
      <c r="A362" s="3" t="s">
        <v>7</v>
      </c>
      <c r="B362" s="3" t="s">
        <v>17</v>
      </c>
      <c r="C362" s="4">
        <v>2024</v>
      </c>
      <c r="D362" s="4" t="s">
        <v>23</v>
      </c>
      <c r="E362" s="4" t="s">
        <v>33</v>
      </c>
      <c r="F362" s="4">
        <v>1368</v>
      </c>
      <c r="G362" s="4">
        <v>82408320</v>
      </c>
      <c r="H362" t="str">
        <f t="shared" si="5"/>
        <v>Discount allowed</v>
      </c>
    </row>
    <row r="363" spans="1:8" x14ac:dyDescent="0.3">
      <c r="A363" s="3" t="s">
        <v>8</v>
      </c>
      <c r="B363" s="3" t="s">
        <v>16</v>
      </c>
      <c r="C363" s="4">
        <v>2024</v>
      </c>
      <c r="D363" s="4" t="s">
        <v>23</v>
      </c>
      <c r="E363" s="4" t="s">
        <v>33</v>
      </c>
      <c r="F363" s="4">
        <v>1924</v>
      </c>
      <c r="G363" s="4">
        <v>62183680</v>
      </c>
      <c r="H363" t="str">
        <f t="shared" si="5"/>
        <v>Discount allowed</v>
      </c>
    </row>
    <row r="364" spans="1:8" x14ac:dyDescent="0.3">
      <c r="A364" s="3" t="s">
        <v>9</v>
      </c>
      <c r="B364" s="3" t="s">
        <v>17</v>
      </c>
      <c r="C364" s="4">
        <v>2024</v>
      </c>
      <c r="D364" s="4" t="s">
        <v>23</v>
      </c>
      <c r="E364" s="4" t="s">
        <v>28</v>
      </c>
      <c r="F364" s="4">
        <v>296</v>
      </c>
      <c r="G364" s="4">
        <v>16036392</v>
      </c>
      <c r="H364" t="str">
        <f t="shared" si="5"/>
        <v>Discount allowed</v>
      </c>
    </row>
    <row r="365" spans="1:8" x14ac:dyDescent="0.3">
      <c r="A365" s="3" t="s">
        <v>10</v>
      </c>
      <c r="B365" s="3" t="s">
        <v>16</v>
      </c>
      <c r="C365" s="4">
        <v>2024</v>
      </c>
      <c r="D365" s="4" t="s">
        <v>23</v>
      </c>
      <c r="E365" s="4" t="s">
        <v>33</v>
      </c>
      <c r="F365" s="4">
        <v>202</v>
      </c>
      <c r="G365" s="4">
        <v>6731448</v>
      </c>
      <c r="H365" t="str">
        <f t="shared" si="5"/>
        <v>No Discount</v>
      </c>
    </row>
    <row r="366" spans="1:8" x14ac:dyDescent="0.3">
      <c r="A366" s="3" t="s">
        <v>11</v>
      </c>
      <c r="B366" s="3" t="s">
        <v>15</v>
      </c>
      <c r="C366" s="4">
        <v>2024</v>
      </c>
      <c r="D366" s="4" t="s">
        <v>23</v>
      </c>
      <c r="E366" s="4" t="s">
        <v>30</v>
      </c>
      <c r="F366" s="4">
        <v>172</v>
      </c>
      <c r="G366" s="4">
        <v>1393716</v>
      </c>
      <c r="H366" t="str">
        <f t="shared" si="5"/>
        <v>No Discount</v>
      </c>
    </row>
    <row r="367" spans="1:8" x14ac:dyDescent="0.3">
      <c r="A367" s="3" t="s">
        <v>12</v>
      </c>
      <c r="B367" s="3" t="s">
        <v>16</v>
      </c>
      <c r="C367" s="4">
        <v>2024</v>
      </c>
      <c r="D367" s="4" t="s">
        <v>23</v>
      </c>
      <c r="E367" s="4" t="s">
        <v>35</v>
      </c>
      <c r="F367" s="4">
        <v>264</v>
      </c>
      <c r="G367" s="4">
        <v>5980392</v>
      </c>
      <c r="H367" t="str">
        <f t="shared" si="5"/>
        <v>No Discount</v>
      </c>
    </row>
    <row r="368" spans="1:8" x14ac:dyDescent="0.3">
      <c r="A368" s="3" t="s">
        <v>13</v>
      </c>
      <c r="B368" s="3" t="s">
        <v>15</v>
      </c>
      <c r="C368" s="4">
        <v>2024</v>
      </c>
      <c r="D368" s="4" t="s">
        <v>23</v>
      </c>
      <c r="E368" s="4" t="s">
        <v>31</v>
      </c>
      <c r="F368" s="4">
        <v>1497</v>
      </c>
      <c r="G368" s="4">
        <v>10998459</v>
      </c>
      <c r="H368" t="str">
        <f t="shared" si="5"/>
        <v>Discount allowed</v>
      </c>
    </row>
    <row r="369" spans="1:8" x14ac:dyDescent="0.3">
      <c r="A369" s="3" t="s">
        <v>14</v>
      </c>
      <c r="B369" s="3" t="s">
        <v>15</v>
      </c>
      <c r="C369" s="4">
        <v>2024</v>
      </c>
      <c r="D369" s="4" t="s">
        <v>23</v>
      </c>
      <c r="E369" s="4" t="s">
        <v>32</v>
      </c>
      <c r="F369" s="4">
        <v>1214</v>
      </c>
      <c r="G369" s="4">
        <v>11508720</v>
      </c>
      <c r="H369" t="str">
        <f t="shared" si="5"/>
        <v>Discount allowed</v>
      </c>
    </row>
    <row r="370" spans="1:8" x14ac:dyDescent="0.3">
      <c r="A370" s="3" t="s">
        <v>7</v>
      </c>
      <c r="B370" s="3" t="s">
        <v>17</v>
      </c>
      <c r="C370" s="4">
        <v>2024</v>
      </c>
      <c r="D370" s="4" t="s">
        <v>24</v>
      </c>
      <c r="E370" s="4" t="s">
        <v>28</v>
      </c>
      <c r="F370" s="4">
        <v>254</v>
      </c>
      <c r="G370" s="4">
        <v>17788890</v>
      </c>
      <c r="H370" t="str">
        <f t="shared" si="5"/>
        <v>Discount allowed</v>
      </c>
    </row>
    <row r="371" spans="1:8" x14ac:dyDescent="0.3">
      <c r="A371" s="3" t="s">
        <v>8</v>
      </c>
      <c r="B371" s="3" t="s">
        <v>15</v>
      </c>
      <c r="C371" s="4">
        <v>2024</v>
      </c>
      <c r="D371" s="4" t="s">
        <v>24</v>
      </c>
      <c r="E371" s="4" t="s">
        <v>34</v>
      </c>
      <c r="F371" s="4">
        <v>194</v>
      </c>
      <c r="G371" s="4">
        <v>2452160</v>
      </c>
      <c r="H371" t="str">
        <f t="shared" si="5"/>
        <v>No Discount</v>
      </c>
    </row>
    <row r="372" spans="1:8" x14ac:dyDescent="0.3">
      <c r="A372" s="3" t="s">
        <v>9</v>
      </c>
      <c r="B372" s="3" t="s">
        <v>15</v>
      </c>
      <c r="C372" s="4">
        <v>2024</v>
      </c>
      <c r="D372" s="4" t="s">
        <v>24</v>
      </c>
      <c r="E372" s="4" t="s">
        <v>27</v>
      </c>
      <c r="F372" s="4">
        <v>131</v>
      </c>
      <c r="G372" s="4">
        <v>1623745</v>
      </c>
      <c r="H372" t="str">
        <f t="shared" si="5"/>
        <v>No Discount</v>
      </c>
    </row>
    <row r="373" spans="1:8" x14ac:dyDescent="0.3">
      <c r="A373" s="3" t="s">
        <v>10</v>
      </c>
      <c r="B373" s="3" t="s">
        <v>17</v>
      </c>
      <c r="C373" s="4">
        <v>2024</v>
      </c>
      <c r="D373" s="4" t="s">
        <v>24</v>
      </c>
      <c r="E373" s="4" t="s">
        <v>29</v>
      </c>
      <c r="F373" s="4">
        <v>93</v>
      </c>
      <c r="G373" s="4">
        <v>6519951</v>
      </c>
      <c r="H373" t="str">
        <f t="shared" si="5"/>
        <v>No Discount</v>
      </c>
    </row>
    <row r="374" spans="1:8" x14ac:dyDescent="0.3">
      <c r="A374" s="3" t="s">
        <v>11</v>
      </c>
      <c r="B374" s="3" t="s">
        <v>15</v>
      </c>
      <c r="C374" s="4">
        <v>2024</v>
      </c>
      <c r="D374" s="4" t="s">
        <v>24</v>
      </c>
      <c r="E374" s="4" t="s">
        <v>29</v>
      </c>
      <c r="F374" s="4">
        <v>604</v>
      </c>
      <c r="G374" s="4">
        <v>5487944</v>
      </c>
      <c r="H374" t="str">
        <f t="shared" si="5"/>
        <v>No Discount</v>
      </c>
    </row>
    <row r="375" spans="1:8" x14ac:dyDescent="0.3">
      <c r="A375" s="3" t="s">
        <v>12</v>
      </c>
      <c r="B375" s="3" t="s">
        <v>15</v>
      </c>
      <c r="C375" s="4">
        <v>2024</v>
      </c>
      <c r="D375" s="4" t="s">
        <v>24</v>
      </c>
      <c r="E375" s="4" t="s">
        <v>32</v>
      </c>
      <c r="F375" s="4">
        <v>583</v>
      </c>
      <c r="G375" s="4">
        <v>4563724</v>
      </c>
      <c r="H375" t="str">
        <f t="shared" si="5"/>
        <v>No Discount</v>
      </c>
    </row>
    <row r="376" spans="1:8" x14ac:dyDescent="0.3">
      <c r="A376" s="3" t="s">
        <v>13</v>
      </c>
      <c r="B376" s="3" t="s">
        <v>17</v>
      </c>
      <c r="C376" s="4">
        <v>2024</v>
      </c>
      <c r="D376" s="4" t="s">
        <v>24</v>
      </c>
      <c r="E376" s="4" t="s">
        <v>30</v>
      </c>
      <c r="F376" s="4">
        <v>399</v>
      </c>
      <c r="G376" s="4">
        <v>27513045</v>
      </c>
      <c r="H376" t="str">
        <f t="shared" si="5"/>
        <v>Discount allowed</v>
      </c>
    </row>
    <row r="377" spans="1:8" x14ac:dyDescent="0.3">
      <c r="A377" s="3" t="s">
        <v>14</v>
      </c>
      <c r="B377" s="3" t="s">
        <v>15</v>
      </c>
      <c r="C377" s="4">
        <v>2024</v>
      </c>
      <c r="D377" s="4" t="s">
        <v>24</v>
      </c>
      <c r="E377" s="4" t="s">
        <v>33</v>
      </c>
      <c r="F377" s="4">
        <v>437</v>
      </c>
      <c r="G377" s="4">
        <v>4986170</v>
      </c>
      <c r="H377" t="str">
        <f t="shared" si="5"/>
        <v>No Discount</v>
      </c>
    </row>
    <row r="378" spans="1:8" x14ac:dyDescent="0.3">
      <c r="A378" s="3" t="s">
        <v>7</v>
      </c>
      <c r="B378" s="3" t="s">
        <v>15</v>
      </c>
      <c r="C378" s="4">
        <v>2024</v>
      </c>
      <c r="D378" s="4" t="s">
        <v>25</v>
      </c>
      <c r="E378" s="4" t="s">
        <v>31</v>
      </c>
      <c r="F378" s="4">
        <v>875</v>
      </c>
      <c r="G378" s="4">
        <v>7802375</v>
      </c>
      <c r="H378" t="str">
        <f t="shared" si="5"/>
        <v>No Discount</v>
      </c>
    </row>
    <row r="379" spans="1:8" x14ac:dyDescent="0.3">
      <c r="A379" s="3" t="s">
        <v>8</v>
      </c>
      <c r="B379" s="3" t="s">
        <v>15</v>
      </c>
      <c r="C379" s="4">
        <v>2024</v>
      </c>
      <c r="D379" s="4" t="s">
        <v>25</v>
      </c>
      <c r="E379" s="4" t="s">
        <v>34</v>
      </c>
      <c r="F379" s="4">
        <v>688</v>
      </c>
      <c r="G379" s="4">
        <v>8356448</v>
      </c>
      <c r="H379" t="str">
        <f t="shared" si="5"/>
        <v>No Discount</v>
      </c>
    </row>
    <row r="380" spans="1:8" x14ac:dyDescent="0.3">
      <c r="A380" s="3" t="s">
        <v>9</v>
      </c>
      <c r="B380" s="3" t="s">
        <v>17</v>
      </c>
      <c r="C380" s="4">
        <v>2024</v>
      </c>
      <c r="D380" s="4" t="s">
        <v>25</v>
      </c>
      <c r="E380" s="4" t="s">
        <v>26</v>
      </c>
      <c r="F380" s="4">
        <v>1495</v>
      </c>
      <c r="G380" s="4">
        <v>126907560</v>
      </c>
      <c r="H380" t="str">
        <f t="shared" si="5"/>
        <v>Discount allowed</v>
      </c>
    </row>
    <row r="381" spans="1:8" x14ac:dyDescent="0.3">
      <c r="A381" s="3" t="s">
        <v>10</v>
      </c>
      <c r="B381" s="3" t="s">
        <v>16</v>
      </c>
      <c r="C381" s="4">
        <v>2024</v>
      </c>
      <c r="D381" s="4" t="s">
        <v>25</v>
      </c>
      <c r="E381" s="4" t="s">
        <v>31</v>
      </c>
      <c r="F381" s="4">
        <v>1798</v>
      </c>
      <c r="G381" s="4">
        <v>37105326</v>
      </c>
      <c r="H381" t="str">
        <f t="shared" si="5"/>
        <v>Discount allowed</v>
      </c>
    </row>
    <row r="382" spans="1:8" x14ac:dyDescent="0.3">
      <c r="A382" s="3" t="s">
        <v>11</v>
      </c>
      <c r="B382" s="3" t="s">
        <v>16</v>
      </c>
      <c r="C382" s="4">
        <v>2024</v>
      </c>
      <c r="D382" s="4" t="s">
        <v>25</v>
      </c>
      <c r="E382" s="4" t="s">
        <v>35</v>
      </c>
      <c r="F382" s="4">
        <v>1287</v>
      </c>
      <c r="G382" s="4">
        <v>47981934</v>
      </c>
      <c r="H382" t="str">
        <f t="shared" si="5"/>
        <v>Discount allowed</v>
      </c>
    </row>
    <row r="383" spans="1:8" x14ac:dyDescent="0.3">
      <c r="A383" s="3" t="s">
        <v>12</v>
      </c>
      <c r="B383" s="3" t="s">
        <v>16</v>
      </c>
      <c r="C383" s="4">
        <v>2024</v>
      </c>
      <c r="D383" s="4" t="s">
        <v>25</v>
      </c>
      <c r="E383" s="4" t="s">
        <v>29</v>
      </c>
      <c r="F383" s="4">
        <v>1387</v>
      </c>
      <c r="G383" s="4">
        <v>23694121</v>
      </c>
      <c r="H383" t="str">
        <f t="shared" si="5"/>
        <v>Discount allowed</v>
      </c>
    </row>
    <row r="384" spans="1:8" x14ac:dyDescent="0.3">
      <c r="A384" s="3" t="s">
        <v>13</v>
      </c>
      <c r="B384" s="3" t="s">
        <v>16</v>
      </c>
      <c r="C384" s="4">
        <v>2024</v>
      </c>
      <c r="D384" s="4" t="s">
        <v>25</v>
      </c>
      <c r="E384" s="4" t="s">
        <v>29</v>
      </c>
      <c r="F384" s="4">
        <v>657</v>
      </c>
      <c r="G384" s="4">
        <v>22130388</v>
      </c>
      <c r="H384" t="str">
        <f t="shared" si="5"/>
        <v>Discount allowed</v>
      </c>
    </row>
    <row r="385" spans="1:8" x14ac:dyDescent="0.3">
      <c r="A385" s="3" t="s">
        <v>14</v>
      </c>
      <c r="B385" s="3" t="s">
        <v>17</v>
      </c>
      <c r="C385" s="4">
        <v>2024</v>
      </c>
      <c r="D385" s="4" t="s">
        <v>25</v>
      </c>
      <c r="E385" s="4" t="s">
        <v>26</v>
      </c>
      <c r="F385" s="4">
        <v>347</v>
      </c>
      <c r="G385" s="4">
        <v>22832947</v>
      </c>
      <c r="H385" t="str">
        <f t="shared" si="5"/>
        <v>Discount allowed</v>
      </c>
    </row>
  </sheetData>
  <conditionalFormatting sqref="G1:G1048576">
    <cfRule type="cellIs" dxfId="0" priority="2" operator="greaterThan">
      <formula>10000000</formula>
    </cfRule>
    <cfRule type="cellIs" dxfId="1" priority="1" operator="lessThan">
      <formula>10000000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B6E3-C61B-4BCA-BE2F-8576A784A514}">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6BF8-C17C-46BA-9E2C-E6708B24D3B3}">
  <dimension ref="A3:K27"/>
  <sheetViews>
    <sheetView zoomScale="96" workbookViewId="0">
      <selection activeCell="H7" sqref="H7"/>
    </sheetView>
  </sheetViews>
  <sheetFormatPr defaultRowHeight="14.4" x14ac:dyDescent="0.3"/>
  <cols>
    <col min="1" max="1" width="13.109375" bestFit="1" customWidth="1"/>
    <col min="2" max="2" width="23" bestFit="1" customWidth="1"/>
    <col min="4" max="4" width="13.109375" bestFit="1" customWidth="1"/>
    <col min="5" max="5" width="16.6640625" bestFit="1" customWidth="1"/>
    <col min="6" max="6" width="22.33203125" bestFit="1" customWidth="1"/>
    <col min="7" max="7" width="13.109375" bestFit="1" customWidth="1"/>
    <col min="8" max="8" width="23" bestFit="1" customWidth="1"/>
    <col min="9" max="9" width="21.109375" customWidth="1"/>
    <col min="10" max="10" width="13.109375" bestFit="1" customWidth="1"/>
    <col min="11" max="11" width="16.6640625" bestFit="1" customWidth="1"/>
  </cols>
  <sheetData>
    <row r="3" spans="1:11" x14ac:dyDescent="0.3">
      <c r="A3" s="5" t="s">
        <v>36</v>
      </c>
      <c r="B3" t="s">
        <v>38</v>
      </c>
      <c r="D3" s="5" t="s">
        <v>36</v>
      </c>
      <c r="E3" t="s">
        <v>39</v>
      </c>
      <c r="G3" s="5" t="s">
        <v>36</v>
      </c>
      <c r="H3" t="s">
        <v>38</v>
      </c>
      <c r="J3" s="5" t="s">
        <v>36</v>
      </c>
      <c r="K3" t="s">
        <v>39</v>
      </c>
    </row>
    <row r="4" spans="1:11" x14ac:dyDescent="0.3">
      <c r="A4" s="1" t="s">
        <v>8</v>
      </c>
      <c r="B4" s="6">
        <v>372226536</v>
      </c>
      <c r="D4" s="1" t="s">
        <v>8</v>
      </c>
      <c r="E4">
        <v>11141</v>
      </c>
      <c r="G4" s="1" t="s">
        <v>28</v>
      </c>
      <c r="H4" s="6">
        <v>146564393</v>
      </c>
      <c r="J4" s="1" t="s">
        <v>15</v>
      </c>
      <c r="K4">
        <v>22052</v>
      </c>
    </row>
    <row r="5" spans="1:11" x14ac:dyDescent="0.3">
      <c r="A5" s="1" t="s">
        <v>14</v>
      </c>
      <c r="B5" s="6">
        <v>205427312</v>
      </c>
      <c r="D5" s="1" t="s">
        <v>14</v>
      </c>
      <c r="E5">
        <v>7248</v>
      </c>
      <c r="G5" s="1" t="s">
        <v>35</v>
      </c>
      <c r="H5" s="6">
        <v>137287072</v>
      </c>
      <c r="J5" s="1" t="s">
        <v>17</v>
      </c>
      <c r="K5">
        <v>21996</v>
      </c>
    </row>
    <row r="6" spans="1:11" x14ac:dyDescent="0.3">
      <c r="A6" s="1" t="s">
        <v>10</v>
      </c>
      <c r="B6" s="6">
        <v>191844527</v>
      </c>
      <c r="D6" s="1" t="s">
        <v>10</v>
      </c>
      <c r="E6">
        <v>7395</v>
      </c>
      <c r="G6" s="1" t="s">
        <v>26</v>
      </c>
      <c r="H6" s="6">
        <v>328956385</v>
      </c>
      <c r="J6" s="1" t="s">
        <v>16</v>
      </c>
      <c r="K6">
        <v>22916</v>
      </c>
    </row>
    <row r="7" spans="1:11" x14ac:dyDescent="0.3">
      <c r="A7" s="1" t="s">
        <v>12</v>
      </c>
      <c r="B7" s="6">
        <v>191083013</v>
      </c>
      <c r="D7" s="1" t="s">
        <v>12</v>
      </c>
      <c r="E7">
        <v>5499</v>
      </c>
      <c r="G7" s="1" t="s">
        <v>31</v>
      </c>
      <c r="H7" s="6">
        <v>219615393</v>
      </c>
      <c r="J7" s="1" t="s">
        <v>37</v>
      </c>
      <c r="K7">
        <v>66964</v>
      </c>
    </row>
    <row r="8" spans="1:11" x14ac:dyDescent="0.3">
      <c r="A8" s="1" t="s">
        <v>13</v>
      </c>
      <c r="B8" s="6">
        <v>245221586</v>
      </c>
      <c r="D8" s="1" t="s">
        <v>13</v>
      </c>
      <c r="E8">
        <v>9236</v>
      </c>
      <c r="G8" s="1" t="s">
        <v>30</v>
      </c>
      <c r="H8" s="6">
        <v>346960904</v>
      </c>
    </row>
    <row r="9" spans="1:11" x14ac:dyDescent="0.3">
      <c r="A9" s="1" t="s">
        <v>7</v>
      </c>
      <c r="B9" s="6">
        <v>253391157</v>
      </c>
      <c r="D9" s="1" t="s">
        <v>7</v>
      </c>
      <c r="E9">
        <v>6800</v>
      </c>
      <c r="G9" s="1" t="s">
        <v>33</v>
      </c>
      <c r="H9" s="6">
        <v>250576092</v>
      </c>
    </row>
    <row r="10" spans="1:11" x14ac:dyDescent="0.3">
      <c r="A10" s="1" t="s">
        <v>11</v>
      </c>
      <c r="B10" s="6">
        <v>404215556</v>
      </c>
      <c r="D10" s="1" t="s">
        <v>11</v>
      </c>
      <c r="E10">
        <v>8210</v>
      </c>
      <c r="G10" s="1" t="s">
        <v>27</v>
      </c>
      <c r="H10" s="6">
        <v>87550225</v>
      </c>
    </row>
    <row r="11" spans="1:11" x14ac:dyDescent="0.3">
      <c r="A11" s="1" t="s">
        <v>9</v>
      </c>
      <c r="B11" s="6">
        <v>644430443</v>
      </c>
      <c r="D11" s="1" t="s">
        <v>9</v>
      </c>
      <c r="E11">
        <v>11435</v>
      </c>
      <c r="G11" s="1" t="s">
        <v>34</v>
      </c>
      <c r="H11" s="6">
        <v>319914158</v>
      </c>
    </row>
    <row r="12" spans="1:11" x14ac:dyDescent="0.3">
      <c r="A12" s="1" t="s">
        <v>37</v>
      </c>
      <c r="B12" s="6">
        <v>2507840130</v>
      </c>
      <c r="D12" s="1" t="s">
        <v>37</v>
      </c>
      <c r="E12">
        <v>66964</v>
      </c>
      <c r="G12" s="1" t="s">
        <v>32</v>
      </c>
      <c r="H12" s="6">
        <v>296573912</v>
      </c>
    </row>
    <row r="13" spans="1:11" x14ac:dyDescent="0.3">
      <c r="G13" s="1" t="s">
        <v>29</v>
      </c>
      <c r="H13" s="6">
        <v>373841596</v>
      </c>
    </row>
    <row r="14" spans="1:11" x14ac:dyDescent="0.3">
      <c r="G14" s="1" t="s">
        <v>37</v>
      </c>
      <c r="H14" s="6">
        <v>2507840130</v>
      </c>
    </row>
    <row r="18" spans="1:5" x14ac:dyDescent="0.3">
      <c r="A18" s="5" t="s">
        <v>36</v>
      </c>
      <c r="B18" t="s">
        <v>38</v>
      </c>
      <c r="D18" s="5" t="s">
        <v>36</v>
      </c>
      <c r="E18" t="s">
        <v>39</v>
      </c>
    </row>
    <row r="19" spans="1:5" x14ac:dyDescent="0.3">
      <c r="A19" s="1" t="s">
        <v>25</v>
      </c>
      <c r="B19" s="6">
        <v>439677456</v>
      </c>
      <c r="D19" s="1">
        <v>2019</v>
      </c>
      <c r="E19">
        <v>66964</v>
      </c>
    </row>
    <row r="20" spans="1:5" x14ac:dyDescent="0.3">
      <c r="A20" s="1" t="s">
        <v>21</v>
      </c>
      <c r="B20" s="6">
        <v>543764614</v>
      </c>
      <c r="D20" s="1">
        <v>2020</v>
      </c>
      <c r="E20">
        <v>59575</v>
      </c>
    </row>
    <row r="21" spans="1:5" x14ac:dyDescent="0.3">
      <c r="A21" s="1" t="s">
        <v>20</v>
      </c>
      <c r="B21" s="6">
        <v>201661694</v>
      </c>
      <c r="D21" s="1">
        <v>2021</v>
      </c>
      <c r="E21">
        <v>68737</v>
      </c>
    </row>
    <row r="22" spans="1:5" x14ac:dyDescent="0.3">
      <c r="A22" s="1" t="s">
        <v>19</v>
      </c>
      <c r="B22" s="6">
        <v>247689424</v>
      </c>
      <c r="D22" s="1">
        <v>2022</v>
      </c>
      <c r="E22">
        <v>70668</v>
      </c>
    </row>
    <row r="23" spans="1:5" x14ac:dyDescent="0.3">
      <c r="A23" s="1" t="s">
        <v>22</v>
      </c>
      <c r="B23" s="6">
        <v>246430285</v>
      </c>
      <c r="D23" s="1">
        <v>2023</v>
      </c>
      <c r="E23">
        <v>60864</v>
      </c>
    </row>
    <row r="24" spans="1:5" x14ac:dyDescent="0.3">
      <c r="A24" s="1" t="s">
        <v>23</v>
      </c>
      <c r="B24" s="6">
        <v>438432531</v>
      </c>
      <c r="D24" s="1">
        <v>2024</v>
      </c>
      <c r="E24">
        <v>55365</v>
      </c>
    </row>
    <row r="25" spans="1:5" x14ac:dyDescent="0.3">
      <c r="A25" s="1" t="s">
        <v>18</v>
      </c>
      <c r="B25" s="6">
        <v>178592648</v>
      </c>
      <c r="D25" s="1" t="s">
        <v>37</v>
      </c>
      <c r="E25">
        <v>382173</v>
      </c>
    </row>
    <row r="26" spans="1:5" x14ac:dyDescent="0.3">
      <c r="A26" s="1" t="s">
        <v>24</v>
      </c>
      <c r="B26" s="6">
        <v>211591478</v>
      </c>
    </row>
    <row r="27" spans="1:5" x14ac:dyDescent="0.3">
      <c r="A27" s="1" t="s">
        <v>37</v>
      </c>
      <c r="B27" s="6">
        <v>2507840130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Set</vt:lpstr>
      <vt:lpstr>Sheet1</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Chacko</cp:lastModifiedBy>
  <dcterms:created xsi:type="dcterms:W3CDTF">2025-10-24T14:40:04Z</dcterms:created>
  <dcterms:modified xsi:type="dcterms:W3CDTF">2025-12-07T17:07:09Z</dcterms:modified>
</cp:coreProperties>
</file>